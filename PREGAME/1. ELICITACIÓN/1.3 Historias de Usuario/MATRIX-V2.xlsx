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<sst xmlns="http://schemas.openxmlformats.org/spreadsheetml/2006/main" count="349" uniqueCount="227">
  <si>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</si>
  <si>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</si>
  <si>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</si>
  <si>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</si>
  <si>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</si>
  <si>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</si>
  <si>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</si>
  <si>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</si>
  <si>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</si>
  <si>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</si>
  <si>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</si>
  <si>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</si>
  <si>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</si>
  <si>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</si>
  <si>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</si>
  <si>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</si>
  <si>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debe permitir registrar la información del producto</t>
  </si>
  <si>
    <t>Registrar los datos del producto: nombre, precio, stock</t>
  </si>
  <si>
    <t>Para poder gestionar los productos y controlar su inventario</t>
  </si>
  <si>
    <t>Propietario</t>
  </si>
  <si>
    <t>Ingresar el nombre, precio, stock y otros datos del producto</t>
  </si>
  <si>
    <t>Camilo Orrico</t>
  </si>
  <si>
    <t>Alta/Esencial</t>
  </si>
  <si>
    <t>Pendiente</t>
  </si>
  <si>
    <t>Verificar que los cambios se reflejen correctamente.</t>
  </si>
  <si>
    <t>—</t>
  </si>
  <si>
    <t>Registrar producto</t>
  </si>
  <si>
    <t>REQ002</t>
  </si>
  <si>
    <t>El sistema debe permitir generar reportes de ventas</t>
  </si>
  <si>
    <t>Generar reportes de ventas por fecha, cliente, y producto</t>
  </si>
  <si>
    <t>Para poder hacer un seguimiento de las ventas y el rendimiento</t>
  </si>
  <si>
    <t>Seleccionar filtros de fecha, cliente, y productos para generar el reporte</t>
  </si>
  <si>
    <t>Verificar que se muestre la lista completa y filtrada.</t>
  </si>
  <si>
    <t>Generar reportes de ventas</t>
  </si>
  <si>
    <t>REQ003</t>
  </si>
  <si>
    <t>El sistema debe permitir al cliente diseñar mezclas personalizadas</t>
  </si>
  <si>
    <t>Permitir a los clientes seleccionar productos y crear mezclas personalizadas</t>
  </si>
  <si>
    <t>Para ofrecer a los clientes una experiencia personalizada</t>
  </si>
  <si>
    <t>Cliente</t>
  </si>
  <si>
    <t>Seleccionar productos y cantidades para crear la mezcla</t>
  </si>
  <si>
    <t>Julio Viche</t>
  </si>
  <si>
    <t>Verificar que el producto se elimine del sistema.</t>
  </si>
  <si>
    <t>Diseñar mezcla personalizada</t>
  </si>
  <si>
    <t>REQ004</t>
  </si>
  <si>
    <t>El sistema debe permitir editar la información del producto</t>
  </si>
  <si>
    <t>Editar los datos de los productos registrados</t>
  </si>
  <si>
    <t>Para mantener actualizada la información de los productos</t>
  </si>
  <si>
    <t>Seleccionar el producto y modificar los campos necesarios</t>
  </si>
  <si>
    <t>Verificar creación exitosa en base de datos.</t>
  </si>
  <si>
    <t>Actualizar producto</t>
  </si>
  <si>
    <t>REQ005</t>
  </si>
  <si>
    <t>El sistema debe permitir eliminar productos del inventario</t>
  </si>
  <si>
    <t>Eliminar productos del inventario de forma lógica</t>
  </si>
  <si>
    <t>Para mantener el inventario actualizado y eliminar productos no disponibles</t>
  </si>
  <si>
    <t>Seleccionar el producto y confirmar la eliminación</t>
  </si>
  <si>
    <t>Verificar que los cambios se guarden correctamente.</t>
  </si>
  <si>
    <t>Eliminar producto</t>
  </si>
  <si>
    <t>REQ006</t>
  </si>
  <si>
    <t>El sistema debe permitir consultar los productos registrados</t>
  </si>
  <si>
    <t>Consultar los productos disponibles en el inventario</t>
  </si>
  <si>
    <t>Para ver los productos y sus detalles antes de realizar una venta o pedido</t>
  </si>
  <si>
    <t>Acceder a la lista de productos y seleccionar para ver más detalles</t>
  </si>
  <si>
    <t>Verificar resultados de búsqueda correctos.</t>
  </si>
  <si>
    <t>Consultar producto</t>
  </si>
  <si>
    <t>REQ007</t>
  </si>
  <si>
    <t>El sistema debe permitir registrar clientes</t>
  </si>
  <si>
    <t>Registrar nuevos clientes en la base de datos</t>
  </si>
  <si>
    <t>Para realizar pedidos y asociar clientes a ventas</t>
  </si>
  <si>
    <t>Ingresar los datos del cliente: nombre, identificación, correo electrónico</t>
  </si>
  <si>
    <t>Matias Lugmaña</t>
  </si>
  <si>
    <t>Verificar eliminación en la base de datos.</t>
  </si>
  <si>
    <t>Registrar cliente</t>
  </si>
  <si>
    <t>REQ008</t>
  </si>
  <si>
    <t>El sistema debe permitir editar la información de los clientes</t>
  </si>
  <si>
    <t>Editar los datos de los clientes registrados</t>
  </si>
  <si>
    <t>Para mantener actualizada la información de los clientes</t>
  </si>
  <si>
    <t>Seleccionar el cliente y modificar los datos</t>
  </si>
  <si>
    <t>Verificar registro y cálculo total correcto.</t>
  </si>
  <si>
    <t>Actualizar cliente</t>
  </si>
  <si>
    <t>REQ009</t>
  </si>
  <si>
    <t>El sistema debe permitir eliminar clientes del sistema</t>
  </si>
  <si>
    <t>Eliminar clientes registrados</t>
  </si>
  <si>
    <t>Para borrar clientes que ya no son necesarios</t>
  </si>
  <si>
    <t>Seleccionar el cliente y confirmar la eliminación</t>
  </si>
  <si>
    <t>Verificar actualización correcta del pedido.</t>
  </si>
  <si>
    <t>Eliminar cliente</t>
  </si>
  <si>
    <t>REQ010</t>
  </si>
  <si>
    <t>El sistema debe permitir crear pedidos</t>
  </si>
  <si>
    <t>Registrar nuevos pedidos con productos y clientes asociados</t>
  </si>
  <si>
    <t>Para procesar y gestionar las ventas</t>
  </si>
  <si>
    <t>Seleccionar cliente y productos, agregar cantidades y registrar el pedido</t>
  </si>
  <si>
    <t>Denise Rea</t>
  </si>
  <si>
    <t>Verificar que se muestre la información correcta.</t>
  </si>
  <si>
    <t>Registrar pedido</t>
  </si>
  <si>
    <t>REQ011</t>
  </si>
  <si>
    <t>El sistema debe permitir consultar pedidos</t>
  </si>
  <si>
    <t>Consultar detalles de los pedidos realizados</t>
  </si>
  <si>
    <t>Para revisar el estado de los pedidos y sus detalles</t>
  </si>
  <si>
    <t>Acceder a la lista de pedidos y ver el detalle del pedido seleccionado</t>
  </si>
  <si>
    <t>Verificar eliminación correcta del registro.</t>
  </si>
  <si>
    <t>Consultar pedido</t>
  </si>
  <si>
    <t>REQ012</t>
  </si>
  <si>
    <t>El sistema debe permitir actualizar el estado de los pedidos</t>
  </si>
  <si>
    <t>Actualizar el estado de un pedido (pendiente, en proceso, completado)</t>
  </si>
  <si>
    <t>Para gestionar el progreso de los pedidos</t>
  </si>
  <si>
    <t>Seleccionar el pedido y actualizar su estado</t>
  </si>
  <si>
    <t>Verificar transición correcta entre estados.</t>
  </si>
  <si>
    <t>Actualizar estado de pedido</t>
  </si>
  <si>
    <t>REQ013</t>
  </si>
  <si>
    <t>El sistema debe permitir eliminar pedidos</t>
  </si>
  <si>
    <t>Eliminar un pedido del sistema</t>
  </si>
  <si>
    <t>Para cancelar pedidos que ya no se desean procesar</t>
  </si>
  <si>
    <t>Seleccionar el pedido y confirmar la eliminación</t>
  </si>
  <si>
    <t>Verificar exportación y formato correcto.</t>
  </si>
  <si>
    <t>Eliminar pedido</t>
  </si>
  <si>
    <t>REQ014</t>
  </si>
  <si>
    <t>El sistema debe permitir generar reportes de pedidos</t>
  </si>
  <si>
    <t>Generar reportes con los pedidos realizados</t>
  </si>
  <si>
    <t>Para tener una visión general de las ventas y el estado de los pedidos</t>
  </si>
  <si>
    <t>Seleccionar los criterios para el reporte (fecha, cliente, estado)</t>
  </si>
  <si>
    <t>Verificar creación correcta de mezcla.</t>
  </si>
  <si>
    <t>Generar reporte de pedidos</t>
  </si>
  <si>
    <t>REQ015</t>
  </si>
  <si>
    <t>El sistema debe permitir calcular la información nutricional de mezclas personalizadas</t>
  </si>
  <si>
    <t>Calcular automáticamente la información nutricional de las mezclas</t>
  </si>
  <si>
    <t>Para proporcionar a los clientes los datos nutricionales de sus mezclas</t>
  </si>
  <si>
    <t>Seleccionar los productos y cantidades para la mezcla y obtener los datos nutricionales</t>
  </si>
  <si>
    <t>Verificar que las mezclas se carguen correctamente.</t>
  </si>
  <si>
    <t>Calcular datos nutricionales</t>
  </si>
  <si>
    <t>REQ016</t>
  </si>
  <si>
    <t>El sistema debe permitir exportar datos en Excel</t>
  </si>
  <si>
    <t>Exportar datos de pedidos y ventas a un archivo Excel</t>
  </si>
  <si>
    <t>Para generar reportes que se pueden analizar fuera del sistema</t>
  </si>
  <si>
    <t>Seleccionar los datos que se desean exportar y generar el archivo Excel</t>
  </si>
  <si>
    <t>Verificar guardado y recuperación posterior.</t>
  </si>
  <si>
    <t>Exportar datos en Excel</t>
  </si>
  <si>
    <t>REQ017</t>
  </si>
  <si>
    <t>El sistema debe permitir gestionar inventarios</t>
  </si>
  <si>
    <t>Controlar el stock de los productos disponibles</t>
  </si>
  <si>
    <t>Para evitar la venta de productos fuera de inventario</t>
  </si>
  <si>
    <t>Monitorear el stock de productos y realizar ajustes cuando sea necesario</t>
  </si>
  <si>
    <t>Comparar resultados nutricionales con valores esperados.</t>
  </si>
  <si>
    <t>Gestionar inventarios</t>
  </si>
  <si>
    <t>REQ018</t>
  </si>
  <si>
    <t>Sistema lento con muchos datos.</t>
  </si>
  <si>
    <t>Mejorar rendimiento.</t>
  </si>
  <si>
    <t>Acelerar respuestas al usuario.</t>
  </si>
  <si>
    <t>Propietario / Cliente</t>
  </si>
  <si>
    <t>Optimizar consultas y CRUD.</t>
  </si>
  <si>
    <t>Crítico</t>
  </si>
  <si>
    <t>Medir tiempos &lt;1 s en consultas.</t>
  </si>
  <si>
    <t>Rendimiento</t>
  </si>
  <si>
    <t>REQ019</t>
  </si>
  <si>
    <t>Sistema no disponible constantemente.</t>
  </si>
  <si>
    <t>Garantizar disponibilidad.</t>
  </si>
  <si>
    <t>Evitar interrupciones.</t>
  </si>
  <si>
    <t>Configurar disponibilidad 98 % y recuperación &lt;3 min.</t>
  </si>
  <si>
    <t>Obligatorio</t>
  </si>
  <si>
    <t>Simular caída y medir recuperación.</t>
  </si>
  <si>
    <t>Disponibilidad</t>
  </si>
  <si>
    <t>REQ020</t>
  </si>
  <si>
    <t>Interfaz poco amigable.</t>
  </si>
  <si>
    <t>Mejorar usabilidad.</t>
  </si>
  <si>
    <t>Hacer la app fácil de usar.</t>
  </si>
  <si>
    <t>Diseñar GUI intuitiva con validaciones.</t>
  </si>
  <si>
    <t>Importante</t>
  </si>
  <si>
    <t>Prueba de usuario y validación de formularios.</t>
  </si>
  <si>
    <t>Usabilidad</t>
  </si>
  <si>
    <t>REQ021</t>
  </si>
  <si>
    <t>Errores en datos manuales.</t>
  </si>
  <si>
    <t>Asegurar integridad de datos.</t>
  </si>
  <si>
    <t>Evitar duplicados y pérdida.</t>
  </si>
  <si>
    <t>Implementar validaciones y reglas.</t>
  </si>
  <si>
    <t>Probar integridad entre tablas.</t>
  </si>
  <si>
    <t>Integridad de Datos</t>
  </si>
  <si>
    <t>REQ022</t>
  </si>
  <si>
    <t>Sistema no escala con más registros.</t>
  </si>
  <si>
    <t>Permitir escalabilidad.</t>
  </si>
  <si>
    <t>Soportar más usuarios y registros.</t>
  </si>
  <si>
    <t>Diseñar arquitectura escalable en backend y BD.</t>
  </si>
  <si>
    <t>Ejecutar pruebas de carga y rendimiento.</t>
  </si>
  <si>
    <t>Escalabilidad</t>
  </si>
  <si>
    <t>REQ023</t>
  </si>
  <si>
    <t>Difícil mantenimiento del sistema.</t>
  </si>
  <si>
    <t>Mejorar mantenibilidad.</t>
  </si>
  <si>
    <t>Facilitar actualizaciones.</t>
  </si>
  <si>
    <t>Desarrollador</t>
  </si>
  <si>
    <t>Modularizar código y documentar.</t>
  </si>
  <si>
    <t>Validar facilidad de corrección.</t>
  </si>
  <si>
    <t>Mantenibilidad</t>
  </si>
  <si>
    <t>REQ024</t>
  </si>
  <si>
    <t>Riesgo de pérdida de datos.</t>
  </si>
  <si>
    <t>Implementar respaldo.</t>
  </si>
  <si>
    <t>Proteger información crítica.</t>
  </si>
  <si>
    <t>Configurar copias automáticas y restauración.</t>
  </si>
  <si>
    <t>Restaurar copia y validar datos.</t>
  </si>
  <si>
    <t>Respaldo y Recuperación</t>
  </si>
  <si>
    <t>REQ025</t>
  </si>
  <si>
    <t>Dependencia de un solo sistema operativo.</t>
  </si>
  <si>
    <t>Mejorar portabilidad.</t>
  </si>
  <si>
    <t>Funcionar en varios entornos.</t>
  </si>
  <si>
    <t>Usar tecnologías multiplataforma.</t>
  </si>
  <si>
    <t>Ejecutar pruebas en distintos SO.</t>
  </si>
  <si>
    <t>Portabilidad</t>
  </si>
  <si>
    <t>REQ026</t>
  </si>
  <si>
    <t>Cálculos erróneos manuales.</t>
  </si>
  <si>
    <t>Asegurar precisión.</t>
  </si>
  <si>
    <t>Mostrar resultados correctos.</t>
  </si>
  <si>
    <t>Validar fórmulas de precios y nutrición.</t>
  </si>
  <si>
    <t>Comparar resultados calculados.</t>
  </si>
  <si>
    <t>Precisión de Cálculos</t>
  </si>
  <si>
    <t>REQ027</t>
  </si>
  <si>
    <t>Sugerencias poco relevantes.</t>
  </si>
  <si>
    <t>Mejorar recomendaciones.</t>
  </si>
  <si>
    <t>Personalizar sugerencias.</t>
  </si>
  <si>
    <t>Analizar historial de mezclas y ofrecer sugerencias.</t>
  </si>
  <si>
    <t>Validar relevancia con usuarios.</t>
  </si>
  <si>
    <t>Calidad de Recomendación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</si>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</sst>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3" fontId="5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7" numFmtId="4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>
        <v>45976.0</v>
      </c>
      <c r="K6" s="9" t="s">
        <v>22</v>
      </c>
      <c r="L6" s="9" t="s">
        <v>23</v>
      </c>
      <c r="M6" s="11" t="s">
        <v>24</v>
      </c>
      <c r="N6" s="9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27</v>
      </c>
      <c r="C7" s="9" t="s">
        <v>28</v>
      </c>
      <c r="D7" s="9" t="s">
        <v>29</v>
      </c>
      <c r="E7" s="9" t="s">
        <v>30</v>
      </c>
      <c r="F7" s="9" t="s">
        <v>19</v>
      </c>
      <c r="G7" s="12" t="s">
        <v>31</v>
      </c>
      <c r="H7" s="9" t="s">
        <v>21</v>
      </c>
      <c r="I7" s="9">
        <v>5.0</v>
      </c>
      <c r="J7" s="10">
        <v>45977.0</v>
      </c>
      <c r="K7" s="9" t="s">
        <v>22</v>
      </c>
      <c r="L7" s="9" t="s">
        <v>23</v>
      </c>
      <c r="M7" s="9" t="s">
        <v>32</v>
      </c>
      <c r="N7" s="9" t="s">
        <v>25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34</v>
      </c>
      <c r="C8" s="9" t="s">
        <v>35</v>
      </c>
      <c r="D8" s="12" t="s">
        <v>36</v>
      </c>
      <c r="E8" s="9" t="s">
        <v>37</v>
      </c>
      <c r="F8" s="9" t="s">
        <v>38</v>
      </c>
      <c r="G8" s="12" t="s">
        <v>39</v>
      </c>
      <c r="H8" s="9" t="s">
        <v>40</v>
      </c>
      <c r="I8" s="9">
        <v>4.0</v>
      </c>
      <c r="J8" s="10">
        <v>45978.0</v>
      </c>
      <c r="K8" s="9" t="s">
        <v>22</v>
      </c>
      <c r="L8" s="9" t="s">
        <v>23</v>
      </c>
      <c r="M8" s="9" t="s">
        <v>41</v>
      </c>
      <c r="N8" s="9" t="s">
        <v>25</v>
      </c>
      <c r="O8" s="9" t="s">
        <v>42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4.5" customHeight="1">
      <c r="A9" s="1"/>
      <c r="B9" s="8" t="s">
        <v>43</v>
      </c>
      <c r="C9" s="9" t="s">
        <v>44</v>
      </c>
      <c r="D9" s="9" t="s">
        <v>45</v>
      </c>
      <c r="E9" s="9" t="s">
        <v>46</v>
      </c>
      <c r="F9" s="9" t="s">
        <v>19</v>
      </c>
      <c r="G9" s="9" t="s">
        <v>47</v>
      </c>
      <c r="H9" s="9" t="s">
        <v>21</v>
      </c>
      <c r="I9" s="9">
        <v>6.0</v>
      </c>
      <c r="J9" s="10">
        <v>45979.0</v>
      </c>
      <c r="K9" s="9" t="s">
        <v>22</v>
      </c>
      <c r="L9" s="9" t="s">
        <v>23</v>
      </c>
      <c r="M9" s="11" t="s">
        <v>48</v>
      </c>
      <c r="N9" s="9"/>
      <c r="O9" s="9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8" t="s">
        <v>50</v>
      </c>
      <c r="C10" s="9" t="s">
        <v>51</v>
      </c>
      <c r="D10" s="13" t="s">
        <v>52</v>
      </c>
      <c r="E10" s="9" t="s">
        <v>53</v>
      </c>
      <c r="F10" s="9" t="s">
        <v>19</v>
      </c>
      <c r="G10" s="12" t="s">
        <v>54</v>
      </c>
      <c r="H10" s="9" t="s">
        <v>21</v>
      </c>
      <c r="I10" s="9">
        <v>5.0</v>
      </c>
      <c r="J10" s="10">
        <v>45980.0</v>
      </c>
      <c r="K10" s="9" t="s">
        <v>22</v>
      </c>
      <c r="L10" s="9" t="s">
        <v>23</v>
      </c>
      <c r="M10" s="9" t="s">
        <v>55</v>
      </c>
      <c r="N10" s="9"/>
      <c r="O10" s="9" t="s">
        <v>56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0.5" customHeight="1">
      <c r="A11" s="1"/>
      <c r="B11" s="8" t="s">
        <v>57</v>
      </c>
      <c r="C11" s="9" t="s">
        <v>58</v>
      </c>
      <c r="D11" s="12" t="s">
        <v>59</v>
      </c>
      <c r="E11" s="9" t="s">
        <v>60</v>
      </c>
      <c r="F11" s="9" t="s">
        <v>19</v>
      </c>
      <c r="G11" s="12" t="s">
        <v>61</v>
      </c>
      <c r="H11" s="9" t="s">
        <v>21</v>
      </c>
      <c r="I11" s="9">
        <v>5.0</v>
      </c>
      <c r="J11" s="10">
        <v>45981.0</v>
      </c>
      <c r="K11" s="9" t="s">
        <v>22</v>
      </c>
      <c r="L11" s="9" t="s">
        <v>23</v>
      </c>
      <c r="M11" s="9" t="s">
        <v>62</v>
      </c>
      <c r="N11" s="9"/>
      <c r="O11" s="9" t="s">
        <v>63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"/>
      <c r="B12" s="8" t="s">
        <v>64</v>
      </c>
      <c r="C12" s="9" t="s">
        <v>65</v>
      </c>
      <c r="D12" s="12" t="s">
        <v>66</v>
      </c>
      <c r="E12" s="9" t="s">
        <v>67</v>
      </c>
      <c r="F12" s="9" t="s">
        <v>19</v>
      </c>
      <c r="G12" s="12" t="s">
        <v>68</v>
      </c>
      <c r="H12" s="9" t="s">
        <v>69</v>
      </c>
      <c r="I12" s="9">
        <v>4.0</v>
      </c>
      <c r="J12" s="10">
        <v>45982.0</v>
      </c>
      <c r="K12" s="9" t="s">
        <v>22</v>
      </c>
      <c r="L12" s="9" t="s">
        <v>23</v>
      </c>
      <c r="M12" s="9" t="s">
        <v>70</v>
      </c>
      <c r="N12" s="14"/>
      <c r="O12" s="9" t="s">
        <v>71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.5" customHeight="1">
      <c r="A13" s="1"/>
      <c r="B13" s="8" t="s">
        <v>72</v>
      </c>
      <c r="C13" s="9" t="s">
        <v>73</v>
      </c>
      <c r="D13" s="9" t="s">
        <v>74</v>
      </c>
      <c r="E13" s="9" t="s">
        <v>75</v>
      </c>
      <c r="F13" s="9" t="s">
        <v>19</v>
      </c>
      <c r="G13" s="12" t="s">
        <v>76</v>
      </c>
      <c r="H13" s="9" t="s">
        <v>69</v>
      </c>
      <c r="I13" s="9">
        <v>8.0</v>
      </c>
      <c r="J13" s="10">
        <v>45983.0</v>
      </c>
      <c r="K13" s="9" t="s">
        <v>22</v>
      </c>
      <c r="L13" s="9" t="s">
        <v>23</v>
      </c>
      <c r="M13" s="9" t="s">
        <v>77</v>
      </c>
      <c r="N13" s="14" t="s">
        <v>25</v>
      </c>
      <c r="O13" s="9" t="s">
        <v>78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8" t="s">
        <v>79</v>
      </c>
      <c r="C14" s="9" t="s">
        <v>80</v>
      </c>
      <c r="D14" s="9" t="s">
        <v>81</v>
      </c>
      <c r="E14" s="9" t="s">
        <v>82</v>
      </c>
      <c r="F14" s="9" t="s">
        <v>19</v>
      </c>
      <c r="G14" s="12" t="s">
        <v>83</v>
      </c>
      <c r="H14" s="9" t="s">
        <v>69</v>
      </c>
      <c r="I14" s="9">
        <v>6.0</v>
      </c>
      <c r="J14" s="10">
        <v>45984.0</v>
      </c>
      <c r="K14" s="9" t="s">
        <v>22</v>
      </c>
      <c r="L14" s="9" t="s">
        <v>23</v>
      </c>
      <c r="M14" s="9" t="s">
        <v>84</v>
      </c>
      <c r="N14" s="14" t="s">
        <v>25</v>
      </c>
      <c r="O14" s="9" t="s">
        <v>85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2.0" customHeight="1">
      <c r="A15" s="1"/>
      <c r="B15" s="8" t="s">
        <v>86</v>
      </c>
      <c r="C15" s="9" t="s">
        <v>87</v>
      </c>
      <c r="D15" s="9" t="s">
        <v>88</v>
      </c>
      <c r="E15" s="9" t="s">
        <v>89</v>
      </c>
      <c r="F15" s="9" t="s">
        <v>19</v>
      </c>
      <c r="G15" s="12" t="s">
        <v>90</v>
      </c>
      <c r="H15" s="9" t="s">
        <v>91</v>
      </c>
      <c r="I15" s="9">
        <v>6.0</v>
      </c>
      <c r="J15" s="10">
        <v>45985.0</v>
      </c>
      <c r="K15" s="9" t="s">
        <v>22</v>
      </c>
      <c r="L15" s="9" t="s">
        <v>23</v>
      </c>
      <c r="M15" s="9" t="s">
        <v>92</v>
      </c>
      <c r="N15" s="14" t="s">
        <v>25</v>
      </c>
      <c r="O15" s="9" t="s">
        <v>93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8" t="s">
        <v>94</v>
      </c>
      <c r="C16" s="9" t="s">
        <v>95</v>
      </c>
      <c r="D16" s="9" t="s">
        <v>96</v>
      </c>
      <c r="E16" s="9" t="s">
        <v>97</v>
      </c>
      <c r="F16" s="9" t="s">
        <v>19</v>
      </c>
      <c r="G16" s="12" t="s">
        <v>98</v>
      </c>
      <c r="H16" s="9" t="s">
        <v>91</v>
      </c>
      <c r="I16" s="9">
        <v>5.0</v>
      </c>
      <c r="J16" s="10">
        <v>45986.0</v>
      </c>
      <c r="K16" s="9" t="s">
        <v>22</v>
      </c>
      <c r="L16" s="9" t="s">
        <v>23</v>
      </c>
      <c r="M16" s="9" t="s">
        <v>99</v>
      </c>
      <c r="N16" s="14" t="s">
        <v>25</v>
      </c>
      <c r="O16" s="9" t="s">
        <v>100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8" t="s">
        <v>101</v>
      </c>
      <c r="C17" s="9" t="s">
        <v>102</v>
      </c>
      <c r="D17" s="9" t="s">
        <v>103</v>
      </c>
      <c r="E17" s="9" t="s">
        <v>104</v>
      </c>
      <c r="F17" s="9" t="s">
        <v>19</v>
      </c>
      <c r="G17" s="12" t="s">
        <v>105</v>
      </c>
      <c r="H17" s="9" t="s">
        <v>91</v>
      </c>
      <c r="I17" s="9">
        <v>7.0</v>
      </c>
      <c r="J17" s="10">
        <v>45987.0</v>
      </c>
      <c r="K17" s="9" t="s">
        <v>22</v>
      </c>
      <c r="L17" s="9" t="s">
        <v>23</v>
      </c>
      <c r="M17" s="9" t="s">
        <v>106</v>
      </c>
      <c r="N17" s="14" t="s">
        <v>25</v>
      </c>
      <c r="O17" s="9" t="s">
        <v>107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8" t="s">
        <v>108</v>
      </c>
      <c r="C18" s="9" t="s">
        <v>109</v>
      </c>
      <c r="D18" s="9" t="s">
        <v>110</v>
      </c>
      <c r="E18" s="9" t="s">
        <v>111</v>
      </c>
      <c r="F18" s="9" t="s">
        <v>19</v>
      </c>
      <c r="G18" s="12" t="s">
        <v>112</v>
      </c>
      <c r="H18" s="9" t="s">
        <v>91</v>
      </c>
      <c r="I18" s="9">
        <v>8.0</v>
      </c>
      <c r="J18" s="10">
        <v>45988.0</v>
      </c>
      <c r="K18" s="9" t="s">
        <v>22</v>
      </c>
      <c r="L18" s="9" t="s">
        <v>23</v>
      </c>
      <c r="M18" s="9" t="s">
        <v>113</v>
      </c>
      <c r="N18" s="14" t="s">
        <v>25</v>
      </c>
      <c r="O18" s="9" t="s">
        <v>114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115</v>
      </c>
      <c r="C19" s="15" t="s">
        <v>116</v>
      </c>
      <c r="D19" s="15" t="s">
        <v>117</v>
      </c>
      <c r="E19" s="15" t="s">
        <v>118</v>
      </c>
      <c r="F19" s="15" t="s">
        <v>19</v>
      </c>
      <c r="G19" s="15" t="s">
        <v>119</v>
      </c>
      <c r="H19" s="9" t="s">
        <v>40</v>
      </c>
      <c r="I19" s="9">
        <v>10.0</v>
      </c>
      <c r="J19" s="10">
        <v>45989.0</v>
      </c>
      <c r="K19" s="9" t="s">
        <v>22</v>
      </c>
      <c r="L19" s="9" t="s">
        <v>23</v>
      </c>
      <c r="M19" s="16" t="s">
        <v>120</v>
      </c>
      <c r="N19" s="15" t="s">
        <v>25</v>
      </c>
      <c r="O19" s="17" t="s">
        <v>121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8" t="s">
        <v>122</v>
      </c>
      <c r="C20" s="15" t="s">
        <v>123</v>
      </c>
      <c r="D20" s="15" t="s">
        <v>124</v>
      </c>
      <c r="E20" s="15" t="s">
        <v>125</v>
      </c>
      <c r="F20" s="15" t="s">
        <v>38</v>
      </c>
      <c r="G20" s="15" t="s">
        <v>126</v>
      </c>
      <c r="H20" s="9" t="s">
        <v>40</v>
      </c>
      <c r="I20" s="9">
        <v>6.0</v>
      </c>
      <c r="J20" s="10">
        <v>45990.0</v>
      </c>
      <c r="K20" s="9" t="s">
        <v>22</v>
      </c>
      <c r="L20" s="9" t="s">
        <v>23</v>
      </c>
      <c r="M20" s="15" t="s">
        <v>127</v>
      </c>
      <c r="N20" s="15" t="s">
        <v>25</v>
      </c>
      <c r="O20" s="17" t="s">
        <v>128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129</v>
      </c>
      <c r="C21" s="15" t="s">
        <v>130</v>
      </c>
      <c r="D21" s="15" t="s">
        <v>131</v>
      </c>
      <c r="E21" s="15" t="s">
        <v>132</v>
      </c>
      <c r="F21" s="15" t="s">
        <v>19</v>
      </c>
      <c r="G21" s="15" t="s">
        <v>133</v>
      </c>
      <c r="H21" s="9" t="s">
        <v>40</v>
      </c>
      <c r="I21" s="9">
        <v>8.0</v>
      </c>
      <c r="J21" s="10">
        <v>45991.0</v>
      </c>
      <c r="K21" s="9" t="s">
        <v>22</v>
      </c>
      <c r="L21" s="9" t="s">
        <v>23</v>
      </c>
      <c r="M21" s="15" t="s">
        <v>134</v>
      </c>
      <c r="N21" s="15" t="s">
        <v>25</v>
      </c>
      <c r="O21" s="17" t="s">
        <v>135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 t="s">
        <v>136</v>
      </c>
      <c r="C22" s="15" t="s">
        <v>137</v>
      </c>
      <c r="D22" s="15" t="s">
        <v>138</v>
      </c>
      <c r="E22" s="15" t="s">
        <v>139</v>
      </c>
      <c r="F22" s="15" t="s">
        <v>19</v>
      </c>
      <c r="G22" s="15" t="s">
        <v>140</v>
      </c>
      <c r="H22" s="9" t="s">
        <v>40</v>
      </c>
      <c r="I22" s="9">
        <v>8.0</v>
      </c>
      <c r="J22" s="10">
        <v>45992.0</v>
      </c>
      <c r="K22" s="9" t="s">
        <v>22</v>
      </c>
      <c r="L22" s="9" t="s">
        <v>23</v>
      </c>
      <c r="M22" s="15" t="s">
        <v>141</v>
      </c>
      <c r="N22" s="15" t="s">
        <v>25</v>
      </c>
      <c r="O22" s="17" t="s">
        <v>142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143</v>
      </c>
      <c r="C23" s="9" t="s">
        <v>144</v>
      </c>
      <c r="D23" s="9" t="s">
        <v>145</v>
      </c>
      <c r="E23" s="9" t="s">
        <v>146</v>
      </c>
      <c r="F23" s="9" t="s">
        <v>147</v>
      </c>
      <c r="G23" s="9" t="s">
        <v>148</v>
      </c>
      <c r="H23" s="9" t="s">
        <v>21</v>
      </c>
      <c r="I23" s="9">
        <v>16.0</v>
      </c>
      <c r="J23" s="10">
        <v>45993.0</v>
      </c>
      <c r="K23" s="9" t="s">
        <v>149</v>
      </c>
      <c r="L23" s="9" t="s">
        <v>23</v>
      </c>
      <c r="M23" s="11" t="s">
        <v>150</v>
      </c>
      <c r="N23" s="9" t="s">
        <v>25</v>
      </c>
      <c r="O23" s="9" t="s">
        <v>151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75" customHeight="1">
      <c r="A24" s="1"/>
      <c r="B24" s="8" t="s">
        <v>152</v>
      </c>
      <c r="C24" s="9" t="s">
        <v>153</v>
      </c>
      <c r="D24" s="9" t="s">
        <v>154</v>
      </c>
      <c r="E24" s="9" t="s">
        <v>155</v>
      </c>
      <c r="F24" s="9" t="s">
        <v>19</v>
      </c>
      <c r="G24" s="9" t="s">
        <v>156</v>
      </c>
      <c r="H24" s="9" t="s">
        <v>21</v>
      </c>
      <c r="I24" s="9">
        <v>12.0</v>
      </c>
      <c r="J24" s="10">
        <v>45994.0</v>
      </c>
      <c r="K24" s="9" t="s">
        <v>157</v>
      </c>
      <c r="L24" s="9" t="s">
        <v>23</v>
      </c>
      <c r="M24" s="11" t="s">
        <v>158</v>
      </c>
      <c r="N24" s="9" t="s">
        <v>25</v>
      </c>
      <c r="O24" s="9" t="s">
        <v>159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8" t="s">
        <v>160</v>
      </c>
      <c r="C25" s="9" t="s">
        <v>161</v>
      </c>
      <c r="D25" s="9" t="s">
        <v>162</v>
      </c>
      <c r="E25" s="9" t="s">
        <v>163</v>
      </c>
      <c r="F25" s="9" t="s">
        <v>147</v>
      </c>
      <c r="G25" s="12" t="s">
        <v>164</v>
      </c>
      <c r="H25" s="9" t="s">
        <v>21</v>
      </c>
      <c r="I25" s="9">
        <v>20.0</v>
      </c>
      <c r="J25" s="10">
        <v>45995.0</v>
      </c>
      <c r="K25" s="9" t="s">
        <v>165</v>
      </c>
      <c r="L25" s="9" t="s">
        <v>23</v>
      </c>
      <c r="M25" s="11" t="s">
        <v>166</v>
      </c>
      <c r="N25" s="9" t="s">
        <v>25</v>
      </c>
      <c r="O25" s="9" t="s">
        <v>167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8" t="s">
        <v>168</v>
      </c>
      <c r="C26" s="9" t="s">
        <v>169</v>
      </c>
      <c r="D26" s="12" t="s">
        <v>170</v>
      </c>
      <c r="E26" s="9" t="s">
        <v>171</v>
      </c>
      <c r="F26" s="9" t="s">
        <v>19</v>
      </c>
      <c r="G26" s="12" t="s">
        <v>172</v>
      </c>
      <c r="H26" s="9" t="s">
        <v>40</v>
      </c>
      <c r="I26" s="9">
        <v>18.0</v>
      </c>
      <c r="J26" s="10">
        <v>45996.0</v>
      </c>
      <c r="K26" s="9" t="s">
        <v>149</v>
      </c>
      <c r="L26" s="9" t="s">
        <v>23</v>
      </c>
      <c r="M26" s="11" t="s">
        <v>173</v>
      </c>
      <c r="N26" s="9" t="s">
        <v>25</v>
      </c>
      <c r="O26" s="9" t="s">
        <v>174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175</v>
      </c>
      <c r="C27" s="9" t="s">
        <v>176</v>
      </c>
      <c r="D27" s="12" t="s">
        <v>177</v>
      </c>
      <c r="E27" s="9" t="s">
        <v>178</v>
      </c>
      <c r="F27" s="9" t="s">
        <v>19</v>
      </c>
      <c r="G27" s="12" t="s">
        <v>179</v>
      </c>
      <c r="H27" s="9" t="s">
        <v>40</v>
      </c>
      <c r="I27" s="9">
        <v>22.0</v>
      </c>
      <c r="J27" s="10">
        <v>45997.0</v>
      </c>
      <c r="K27" s="9" t="s">
        <v>165</v>
      </c>
      <c r="L27" s="9" t="s">
        <v>23</v>
      </c>
      <c r="M27" s="11" t="s">
        <v>180</v>
      </c>
      <c r="N27" s="9" t="s">
        <v>25</v>
      </c>
      <c r="O27" s="9" t="s">
        <v>181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182</v>
      </c>
      <c r="C28" s="9" t="s">
        <v>183</v>
      </c>
      <c r="D28" s="12" t="s">
        <v>184</v>
      </c>
      <c r="E28" s="9" t="s">
        <v>185</v>
      </c>
      <c r="F28" s="9" t="s">
        <v>186</v>
      </c>
      <c r="G28" s="12" t="s">
        <v>187</v>
      </c>
      <c r="H28" s="9" t="s">
        <v>40</v>
      </c>
      <c r="I28" s="9">
        <v>14.0</v>
      </c>
      <c r="J28" s="10">
        <v>45998.0</v>
      </c>
      <c r="K28" s="9" t="s">
        <v>165</v>
      </c>
      <c r="L28" s="9" t="s">
        <v>23</v>
      </c>
      <c r="M28" s="11" t="s">
        <v>188</v>
      </c>
      <c r="N28" s="9" t="s">
        <v>25</v>
      </c>
      <c r="O28" s="9" t="s">
        <v>189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190</v>
      </c>
      <c r="C29" s="9" t="s">
        <v>191</v>
      </c>
      <c r="D29" s="12" t="s">
        <v>192</v>
      </c>
      <c r="E29" s="9" t="s">
        <v>193</v>
      </c>
      <c r="F29" s="9" t="s">
        <v>19</v>
      </c>
      <c r="G29" s="12" t="s">
        <v>194</v>
      </c>
      <c r="H29" s="9" t="s">
        <v>91</v>
      </c>
      <c r="I29" s="9">
        <v>16.0</v>
      </c>
      <c r="J29" s="10">
        <v>45999.0</v>
      </c>
      <c r="K29" s="9" t="s">
        <v>149</v>
      </c>
      <c r="L29" s="9" t="s">
        <v>23</v>
      </c>
      <c r="M29" s="11" t="s">
        <v>195</v>
      </c>
      <c r="N29" s="9" t="s">
        <v>25</v>
      </c>
      <c r="O29" s="9" t="s">
        <v>196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197</v>
      </c>
      <c r="C30" s="9" t="s">
        <v>198</v>
      </c>
      <c r="D30" s="12" t="s">
        <v>199</v>
      </c>
      <c r="E30" s="9" t="s">
        <v>200</v>
      </c>
      <c r="F30" s="9" t="s">
        <v>147</v>
      </c>
      <c r="G30" s="12" t="s">
        <v>201</v>
      </c>
      <c r="H30" s="9" t="s">
        <v>91</v>
      </c>
      <c r="I30" s="9">
        <v>10.0</v>
      </c>
      <c r="J30" s="10">
        <v>46000.0</v>
      </c>
      <c r="K30" s="9" t="s">
        <v>149</v>
      </c>
      <c r="L30" s="9" t="s">
        <v>23</v>
      </c>
      <c r="M30" s="11" t="s">
        <v>202</v>
      </c>
      <c r="N30" s="9" t="s">
        <v>25</v>
      </c>
      <c r="O30" s="9" t="s">
        <v>203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204</v>
      </c>
      <c r="C31" s="9" t="s">
        <v>205</v>
      </c>
      <c r="D31" s="12" t="s">
        <v>206</v>
      </c>
      <c r="E31" s="9" t="s">
        <v>207</v>
      </c>
      <c r="F31" s="9" t="s">
        <v>147</v>
      </c>
      <c r="G31" s="12" t="s">
        <v>208</v>
      </c>
      <c r="H31" s="9" t="s">
        <v>91</v>
      </c>
      <c r="I31" s="9">
        <v>12.0</v>
      </c>
      <c r="J31" s="10">
        <v>46001.0</v>
      </c>
      <c r="K31" s="9" t="s">
        <v>149</v>
      </c>
      <c r="L31" s="9" t="s">
        <v>23</v>
      </c>
      <c r="M31" s="11" t="s">
        <v>209</v>
      </c>
      <c r="N31" s="9" t="s">
        <v>25</v>
      </c>
      <c r="O31" s="9" t="s">
        <v>210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211</v>
      </c>
      <c r="C32" s="9" t="s">
        <v>212</v>
      </c>
      <c r="D32" s="12" t="s">
        <v>213</v>
      </c>
      <c r="E32" s="9" t="s">
        <v>214</v>
      </c>
      <c r="F32" s="9" t="s">
        <v>38</v>
      </c>
      <c r="G32" s="12" t="s">
        <v>215</v>
      </c>
      <c r="H32" s="9" t="s">
        <v>69</v>
      </c>
      <c r="I32" s="9">
        <v>30.0</v>
      </c>
      <c r="J32" s="10">
        <v>46002.0</v>
      </c>
      <c r="K32" s="9" t="s">
        <v>165</v>
      </c>
      <c r="L32" s="9" t="s">
        <v>23</v>
      </c>
      <c r="M32" s="11" t="s">
        <v>216</v>
      </c>
      <c r="N32" s="9" t="s">
        <v>25</v>
      </c>
      <c r="O32" s="9" t="s">
        <v>217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8"/>
      <c r="C33" s="9"/>
      <c r="D33" s="12"/>
      <c r="E33" s="9"/>
      <c r="F33" s="9"/>
      <c r="G33" s="12"/>
      <c r="H33" s="9"/>
      <c r="I33" s="9"/>
      <c r="J33" s="10"/>
      <c r="K33" s="9"/>
      <c r="L33" s="9"/>
      <c r="M33" s="11"/>
      <c r="N33" s="9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9"/>
      <c r="C34" s="20"/>
      <c r="D34" s="21"/>
      <c r="E34" s="20"/>
      <c r="F34" s="20"/>
      <c r="G34" s="21"/>
      <c r="H34" s="20"/>
      <c r="I34" s="20"/>
      <c r="J34" s="22"/>
      <c r="K34" s="20"/>
      <c r="L34" s="20"/>
      <c r="M34" s="23"/>
      <c r="N34" s="20"/>
      <c r="O34" s="2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9"/>
      <c r="C35" s="20"/>
      <c r="D35" s="21"/>
      <c r="E35" s="20"/>
      <c r="F35" s="20"/>
      <c r="G35" s="21"/>
      <c r="H35" s="20"/>
      <c r="I35" s="20"/>
      <c r="J35" s="22"/>
      <c r="K35" s="20"/>
      <c r="L35" s="20"/>
      <c r="M35" s="23"/>
      <c r="N35" s="20"/>
      <c r="O35" s="2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9"/>
      <c r="C36" s="20"/>
      <c r="D36" s="21"/>
      <c r="E36" s="20"/>
      <c r="F36" s="20"/>
      <c r="G36" s="21"/>
      <c r="H36" s="20"/>
      <c r="I36" s="20"/>
      <c r="J36" s="22"/>
      <c r="K36" s="20"/>
      <c r="L36" s="20"/>
      <c r="M36" s="23"/>
      <c r="N36" s="20"/>
      <c r="O36" s="2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9"/>
      <c r="C37" s="20"/>
      <c r="D37" s="21"/>
      <c r="E37" s="20"/>
      <c r="F37" s="20"/>
      <c r="G37" s="21"/>
      <c r="H37" s="20"/>
      <c r="I37" s="20"/>
      <c r="J37" s="22"/>
      <c r="K37" s="20"/>
      <c r="L37" s="20"/>
      <c r="M37" s="23"/>
      <c r="N37" s="20"/>
      <c r="O37" s="2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/>
      <c r="C38" s="20"/>
      <c r="D38" s="21"/>
      <c r="E38" s="20"/>
      <c r="F38" s="20"/>
      <c r="G38" s="21"/>
      <c r="H38" s="20"/>
      <c r="I38" s="20"/>
      <c r="J38" s="22"/>
      <c r="K38" s="20"/>
      <c r="L38" s="20"/>
      <c r="M38" s="23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9"/>
      <c r="C39" s="20"/>
      <c r="D39" s="21"/>
      <c r="E39" s="20"/>
      <c r="F39" s="20"/>
      <c r="G39" s="21"/>
      <c r="H39" s="20"/>
      <c r="I39" s="20"/>
      <c r="J39" s="22"/>
      <c r="K39" s="20"/>
      <c r="L39" s="20"/>
      <c r="M39" s="23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9"/>
      <c r="C40" s="20"/>
      <c r="D40" s="21"/>
      <c r="E40" s="20"/>
      <c r="F40" s="20"/>
      <c r="G40" s="21"/>
      <c r="H40" s="20"/>
      <c r="I40" s="20"/>
      <c r="J40" s="22"/>
      <c r="K40" s="20"/>
      <c r="L40" s="20"/>
      <c r="M40" s="23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3:O3"/>
  </mergeCells>
  <conditionalFormatting sqref="L6:L8 L10:L3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1:L18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6 L33:L40">
      <formula1>$L$32:$L$35</formula1>
    </dataValidation>
    <dataValidation type="list" allowBlank="1" showErrorMessage="1" sqref="K6:K40">
      <formula1>$K$32:$K$34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218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219</v>
      </c>
      <c r="F9" s="6"/>
      <c r="G9" s="36"/>
      <c r="H9" s="37" t="s">
        <v>11</v>
      </c>
      <c r="I9" s="6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15</v>
      </c>
      <c r="D10" s="41"/>
      <c r="E10" s="42" t="str">
        <f>VLOOKUP(C10,'Formato descripción HU'!B6:O22,5,0)</f>
        <v>Propietario</v>
      </c>
      <c r="F10" s="6"/>
      <c r="G10" s="43"/>
      <c r="H10" s="42" t="str">
        <f>VLOOKUP(C10,'Formato descripción HU'!B6:O22,11,0)</f>
        <v>Pendiente</v>
      </c>
      <c r="I10" s="6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220</v>
      </c>
      <c r="D12" s="41"/>
      <c r="E12" s="37" t="s">
        <v>10</v>
      </c>
      <c r="F12" s="6"/>
      <c r="G12" s="43"/>
      <c r="H12" s="37" t="s">
        <v>221</v>
      </c>
      <c r="I12" s="6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HU'!B6:O22,8,0)</f>
        <v>6</v>
      </c>
      <c r="D13" s="41"/>
      <c r="E13" s="42" t="str">
        <f>VLOOKUP(C10,'Formato descripción HU'!B6:O22,10,0)</f>
        <v>Alta/Esencial</v>
      </c>
      <c r="F13" s="6"/>
      <c r="G13" s="43"/>
      <c r="H13" s="42" t="str">
        <f>VLOOKUP(C10,'Formato descripción HU'!B6:O22,7,0)</f>
        <v>Camilo Orrico</v>
      </c>
      <c r="I13" s="6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222</v>
      </c>
      <c r="D15" s="48" t="str">
        <f>VLOOKUP(C10,'Formato descripción HU'!B6:O22,3,0)</f>
        <v>Registrar los datos del producto: nombre, precio, stock</v>
      </c>
      <c r="E15" s="49"/>
      <c r="F15" s="50"/>
      <c r="G15" s="47" t="s">
        <v>223</v>
      </c>
      <c r="H15" s="48" t="str">
        <f>VLOOKUP(C10,'Formato descripción HU'!B6:O22,4,0)</f>
        <v>Para poder gestionar los productos y controlar su inventario</v>
      </c>
      <c r="I15" s="51"/>
      <c r="J15" s="49"/>
      <c r="K15" s="50"/>
      <c r="L15" s="47" t="s">
        <v>224</v>
      </c>
      <c r="M15" s="52" t="str">
        <f>VLOOKUP(C10,'Formato descripción HU'!B6:O22,6,0)</f>
        <v>Ingresar el nombre, precio, stock y otros datos del producto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225</v>
      </c>
      <c r="D19" s="49"/>
      <c r="E19" s="61" t="str">
        <f>VLOOKUP(C10,'Formato descripción HU'!B6:O22,14,0)</f>
        <v>Registrar producto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226</v>
      </c>
      <c r="D22" s="49"/>
      <c r="E22" s="68" t="str">
        <f>VLOOKUP(C10,'Formato descripción HU'!B6:O22,12,0)</f>
        <v>Verificar que los cambios se reflejen correctamente.</v>
      </c>
      <c r="F22" s="51"/>
      <c r="G22" s="51"/>
      <c r="H22" s="49"/>
      <c r="I22" s="38"/>
      <c r="J22" s="67" t="s">
        <v>13</v>
      </c>
      <c r="K22" s="49"/>
      <c r="L22" s="69" t="str">
        <f>VLOOKUP(C10,'Formato descripción HU'!B6:O22,13,0)</f>
        <v>—</v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9.5" customHeight="1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9.5" customHeight="1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9.5" customHeight="1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9.5" customHeight="1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9.5" customHeight="1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9.5" customHeight="1"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9.5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9.5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9.5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9.5" customHeight="1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9.5" customHeight="1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9.5" customHeight="1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9.5" customHeight="1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9.5" customHeight="1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9.5" customHeight="1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9.5" customHeight="1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9.5" customHeight="1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9.5" customHeight="1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9.5" customHeight="1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9.5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HU'!$B$6:$B$22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