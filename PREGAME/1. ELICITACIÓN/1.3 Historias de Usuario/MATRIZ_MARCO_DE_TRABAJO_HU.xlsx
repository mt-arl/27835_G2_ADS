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workbook>
</file>

<file path=xl/sharedStrings.xml><?xml version="1.0" encoding="utf-8"?>
<sst xmlns="http://schemas.openxmlformats.org/spreadsheetml/2006/main" count="274" uniqueCount="190">
  <si>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</si>
  <si>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</si>
  <si>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</si>
  <si>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</si>
  <si>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</si>
  <si>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</si>
  <si>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</si>
  <si>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</si>
  <si>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</si>
  <si>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</si>
  <si>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</si>
  <si>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</si>
  <si>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</si>
  <si>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</si>
  <si>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</si>
  <si>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RF-1.1</t>
  </si>
  <si>
    <t>El sistema debe permitir registrar la información del producto</t>
  </si>
  <si>
    <t>Registrar los datos del producto: nombre, precio, stock</t>
  </si>
  <si>
    <t>Para poder gestionar los productos y controlar su inventario</t>
  </si>
  <si>
    <t>Propietario</t>
  </si>
  <si>
    <t>Ingresar el nombre, precio, stock y otros datos del producto</t>
  </si>
  <si>
    <t>Camilo Orrico</t>
  </si>
  <si>
    <t>Alta/Esencial</t>
  </si>
  <si>
    <t>Pendiente</t>
  </si>
  <si>
    <t>Verificar que los cambios se reflejen correctamente.</t>
  </si>
  <si>
    <t>HU-Registrar producto</t>
  </si>
  <si>
    <t>RF-1.2</t>
  </si>
  <si>
    <t>El sistema debe permitir editar la información del producto</t>
  </si>
  <si>
    <t>Editar los datos de los productos registrados</t>
  </si>
  <si>
    <t>Para mantener actualizada la información de los productos</t>
  </si>
  <si>
    <t>Seleccionar el producto y modificar los campos necesarios</t>
  </si>
  <si>
    <t>Verificar creación exitosa en base de datos.</t>
  </si>
  <si>
    <t>HU-Actualizar producto</t>
  </si>
  <si>
    <t>RF-1.3</t>
  </si>
  <si>
    <t>El sistema debe permitir consultar los productos registrados</t>
  </si>
  <si>
    <t>Consultar los productos disponibles en el inventario</t>
  </si>
  <si>
    <t>Para ver los productos y sus detalles antes de realizar una venta o pedido</t>
  </si>
  <si>
    <t>Acceder a la lista de productos y seleccionar para ver más detalles</t>
  </si>
  <si>
    <t>Verificar resultados de búsqueda correctos.</t>
  </si>
  <si>
    <t>HU-Consultar producto</t>
  </si>
  <si>
    <t>RF-1.4</t>
  </si>
  <si>
    <t>El sistema debe permitir eliminar productos del inventario</t>
  </si>
  <si>
    <t>Eliminar productos del inventario de forma lógica</t>
  </si>
  <si>
    <t>Para mantener el inventario actualizado y eliminar productos no disponibles</t>
  </si>
  <si>
    <t>Seleccionar el producto y confirmar la eliminación</t>
  </si>
  <si>
    <t>Verificar que los cambios se guarden correctamente.</t>
  </si>
  <si>
    <t>HU-Eliminar producto</t>
  </si>
  <si>
    <t>RF-2.1</t>
  </si>
  <si>
    <t>La falta de centralización de datos lleva a la pérdida de tiempo y errores al registrar nuevos clientes.</t>
  </si>
  <si>
    <t>Registrar la información de un nuevo cliente</t>
  </si>
  <si>
    <t>Para que el cliente quede registrado en la base de datos y pueda ser asociado a pedidos futuros.</t>
  </si>
  <si>
    <t>Acceder al formulario de registro de cliente, ingresar y validar todos los campos obligatorios (Nombre, ID, Correo, Teléfono, Dirección), validar unicidad y formato de la ID (10, 13 dígitos o 6-9 alfanuméricos), almacenar en la base de datos</t>
  </si>
  <si>
    <t>Matias Lugmaña</t>
  </si>
  <si>
    <t>Se verifica que el cliente es registrado exitosamente y que las validaciones de campos obligatorios, formato y unicidad de la ID impidan guardar datos incorrectos o duplicados.</t>
  </si>
  <si>
    <t>Todos los campos son obligatorios.</t>
  </si>
  <si>
    <t>Registrar Cliente</t>
  </si>
  <si>
    <t>RF-2.2</t>
  </si>
  <si>
    <t>Dificultad para corregir y mantener actualizada la información de contacto o de identificación de clientes existentes</t>
  </si>
  <si>
    <t>Actualizar los datos de un cliente existente</t>
  </si>
  <si>
    <t>Que la información del cliente registrado se mantenga correcta y actual.</t>
  </si>
  <si>
    <t>Acceder a la lista de clientes, seleccionar la opción "Editar", modificar los campos necesarios, validar la nueva información con los mismos criterios del registro (formato, unicidad), almacenar los cambios en la base de datos.</t>
  </si>
  <si>
    <t>Se verifica que la modificación se guarda, se refleja en la lista, y que las validaciones impiden guardar datos incorrectos (ej. ID ya existente).</t>
  </si>
  <si>
    <t>La precondición es que debe existir un cliente registrado.</t>
  </si>
  <si>
    <t>Actualizar cliente</t>
  </si>
  <si>
    <t>RF-2.3</t>
  </si>
  <si>
    <t>Dificultad para localizar rápidamente la información de un cliente específico en los registros físicos.</t>
  </si>
  <si>
    <t>Buscar y visualizar la información de los clientes registrados</t>
  </si>
  <si>
    <t>Que el actor visualice la información completa de un cliente o una lista de coincidencias</t>
  </si>
  <si>
    <t>Acceder a la lista de clientes, usar el campo de búsqueda por nombre o número de identificación, mostrar la información completa para una coincidencia exacta o una lista de resultados para coincidencias parciales</t>
  </si>
  <si>
    <t>Se verifica que la búsqueda por ID exacto muestre el detalle del cliente, la búsqueda por nombre parcial muestre resultados filtrados, y que se muestre una advertencia si no hay coincidencias</t>
  </si>
  <si>
    <t xml:space="preserve">Se enlistaran todos los usuarios disponibles asi como los inacivos </t>
  </si>
  <si>
    <t>Consultar Cliente</t>
  </si>
  <si>
    <t>RF-2.4</t>
  </si>
  <si>
    <t>Necesidad de mantener un historial limpio sin borrar completamente la información del cliente.</t>
  </si>
  <si>
    <t>Desactivar lógicamente un cliente del sistema.</t>
  </si>
  <si>
    <t>Que el cliente sea marcado como 'Inactivo' y excluido de futuras selecciones, conservando su historial</t>
  </si>
  <si>
    <t>Acceder a la lista de clientes, seleccionar "Eliminar", confirmar la acción, cambiar el estado del cliente en la DB de 'Activo' a 'Inactivo', actualizar la lista de clientes registrados</t>
  </si>
  <si>
    <t>Se verifica que el cliente desaparece de la lista activa, su estado en la base de datos es 'Inactivo' y que ya no puede ser seleccionado para un nuevo pedido.</t>
  </si>
  <si>
    <t>La eliminación es lógica de desactivación;</t>
  </si>
  <si>
    <t>Eliminar Cliente</t>
  </si>
  <si>
    <t>RF-3.1</t>
  </si>
  <si>
    <t>No existe registro digital y estructurado de pedidos</t>
  </si>
  <si>
    <t>Registrar nuevos pedidos de forma rápida y confiable</t>
  </si>
  <si>
    <t>Asegurar el control de ventas y la trazabilidad de cada solicitud realizada</t>
  </si>
  <si>
    <t>Ingresar datos del cliente, productos, cantidades, fecha y guardar pedido</t>
  </si>
  <si>
    <t>Denise Rea</t>
  </si>
  <si>
    <t>Importante</t>
  </si>
  <si>
    <t>Crear un pedido y confirmar que aparece en la base de datos y en el módulo de la consulta</t>
  </si>
  <si>
    <t>Debe validar campos obligatorios</t>
  </si>
  <si>
    <t>HU-RegistrarPedido</t>
  </si>
  <si>
    <t>RF-3.2</t>
  </si>
  <si>
    <t xml:space="preserve">Los pedidos no pueden modificarse una vez ya registrados </t>
  </si>
  <si>
    <t>Actualizar información de pedido</t>
  </si>
  <si>
    <t>Corregir errores o ajustar cantidades antes de su entrega</t>
  </si>
  <si>
    <t>Editar los datos del pedido previamente registrado y guardar cambios</t>
  </si>
  <si>
    <t xml:space="preserve">Modificar un pedido y comprobar que la información actualizada se refleje correctamente </t>
  </si>
  <si>
    <t>Debe registrar la fecha en que fue modificado</t>
  </si>
  <si>
    <t>HU-ActualizarPedido</t>
  </si>
  <si>
    <t>RF-3.3</t>
  </si>
  <si>
    <t xml:space="preserve">No hay forma de ver el historial de pedidos realizados </t>
  </si>
  <si>
    <t xml:space="preserve">Consultar información de los pedidos registrados </t>
  </si>
  <si>
    <t xml:space="preserve">Acceder a detalles, estados, clientes y productos asociados </t>
  </si>
  <si>
    <t>Buscar código, fecha, o cliente y visualizar detalles</t>
  </si>
  <si>
    <t xml:space="preserve">Realizar una consulta y verificar que los datos coinciden con lo registrado </t>
  </si>
  <si>
    <t xml:space="preserve">Agregar filtros básicos </t>
  </si>
  <si>
    <t>HU-Consultar pedido</t>
  </si>
  <si>
    <t>RF-3.4</t>
  </si>
  <si>
    <t>Pedidos erróneos permanecen en el sistema sin poder ser removidos</t>
  </si>
  <si>
    <t xml:space="preserve">Eliminar pedidos que no sean válidos </t>
  </si>
  <si>
    <t xml:space="preserve">Mantener una base de datos limpia y confiable </t>
  </si>
  <si>
    <t>Seleccionar el pedido y ejecutar la acción de eliminar, en connjunto a una confirmación</t>
  </si>
  <si>
    <t>Eliminar un pedido y comprobar que ya no aparece en las consultas</t>
  </si>
  <si>
    <t>Es recomendable usar un borrado lógico</t>
  </si>
  <si>
    <t>HU-EliminarPedido</t>
  </si>
  <si>
    <t>RF-3.5</t>
  </si>
  <si>
    <t>No existe control en el progreso del pedido del cliente (pendiente, en progreso, entregado)</t>
  </si>
  <si>
    <t>Controlar y actualizar el estado del pedido</t>
  </si>
  <si>
    <t xml:space="preserve">Gestionar el flujo y saber en qué parte del proceso se encuentra </t>
  </si>
  <si>
    <t>Cambiar estado desde un menú (transición de pendiente, en proceso y finalizado)</t>
  </si>
  <si>
    <t>Cambiar estado y verificar que se actualiza correctamente en la vista del pedido</t>
  </si>
  <si>
    <t>Los estados deben ser controlados por reglas</t>
  </si>
  <si>
    <t>HU-ControlarEstado</t>
  </si>
  <si>
    <t>RF-3.6</t>
  </si>
  <si>
    <t>No hay reportes para analizar pedidos realizados</t>
  </si>
  <si>
    <t>Geberar reportes descargables</t>
  </si>
  <si>
    <t>Para tener una visión general de las ventas y el estado de los pedidos</t>
  </si>
  <si>
    <t>Seleccionar los criterios para el reporte (fecha, cliente, estado)</t>
  </si>
  <si>
    <t>Generar reporte y verificar contenido correcto y estructura del archivo generado</t>
  </si>
  <si>
    <t>Se puede usar formato PDF</t>
  </si>
  <si>
    <t>HU-GenerarReportes</t>
  </si>
  <si>
    <t>RF-4.1</t>
  </si>
  <si>
    <t>El actor no puede crear combinaciones personalizadas de productos ni reutilizarlas en pedidos.</t>
  </si>
  <si>
    <t>Permitir a los clientes seleccionar productos y crear mezclas personalizadas</t>
  </si>
  <si>
    <t>Guardar la mezcla y usarla en pedidos futuros, calculando su precio total dinámicamente.</t>
  </si>
  <si>
    <t>Cliente</t>
  </si>
  <si>
    <t>Acceder a "Crear Nueva Mezcla”. Ingresar nombre válido. Seleccionar productos. Ingresar cantidades. Calcular precios. Modificar componentes. Ver datos nutricionales. Guardar mezcla o registrarla en un pedido.</t>
  </si>
  <si>
    <t>Julio Viche</t>
  </si>
  <si>
    <t>Verificar que se puede crear mezcla con nombre válido. Añadir/modificar/eliminar componentes correctamente. Cálculo dinámico del precio total. - Validación de cantidades y disponibilidad. Mostrar datos nutricionales cuando existan. Guardado exitoso en BD y uso en un pedido. Mostrar mensajes de error según excepciones.</t>
  </si>
  <si>
    <t>—</t>
  </si>
  <si>
    <t>HU-DiseñarMezclaPersonalizada</t>
  </si>
  <si>
    <t>RF-4.2</t>
  </si>
  <si>
    <t>El actor no puede consultar mezclas personalizadas ni recibir recomendaciones basadas en su historial o nutrición.</t>
  </si>
  <si>
    <t>Mostrar mezclas predefinidas, mezclas guardadas y sugerencias dinámicas basadas en historial, preferencias y balance nutricional.</t>
  </si>
  <si>
    <t>Permitir al actor reutilizar, ajustar o crear nuevas mezclas a partir de recomendaciones o mezclas existentes.</t>
  </si>
  <si>
    <t>Acceder a “Consultar/Crear Mezcla”. Ver mezclas predefinidas, sugerencias y mezclas guardadas. Seleccionar mezcla existente o iniciar desde cero. Ajustar cantidades o componentes. Ver costo, precio y datos nutricionales. Recibir avisos o recomendaciones. Guardar mezcla o agregarla a un pedido.</t>
  </si>
  <si>
    <t>Consultar mezclas predefinidas y guardadas. Generar recomendaciones. Seleccionar y editar mezclas correctamente. Cálculo dinámico del costo y datos nutricionales. Mostrar avisos de similitud. Guardar mezcla o añadir a pedido. Validar errores de carga, conexión y datos según excepciones.</t>
  </si>
  <si>
    <t>HU-ConsultarMezclasPersonalizadas</t>
  </si>
  <si>
    <t>RF-4.3</t>
  </si>
  <si>
    <t>El actor no puede almacenar sus mezclas personalizadas para reutilizarlas en el futuro.</t>
  </si>
  <si>
    <t>Guardar en la base de datos una mezcla personalizada diseñada o modificada.</t>
  </si>
  <si>
    <t>Permitir que el cliente consulte y utilice la mezcla en pedidos futuros sin volver a diseñarla.</t>
  </si>
  <si>
    <t>Acceder a “Guardar Mezcla”. Introducir un nombre para la mezcla. Validar nombre. Guardar mezcla en BD. Mostrar confirmación.</t>
  </si>
  <si>
    <t>Verificar que se solicite nombre de mezcla. Validar longitudes y campos vacíos. Confirmar que la mezcla se guarda en la BD. Mostrar mensaje de éxito. Manejar errores: validación fallida o falla de conexión/guardado.</t>
  </si>
  <si>
    <t>HU-GuardarMezclaPersonalizada</t>
  </si>
  <si>
    <t>RF-4.4</t>
  </si>
  <si>
    <t>El actor no puede visualizar los datos nutricionales de productos o mezclas mientras las diseña.</t>
  </si>
  <si>
    <t>Mostrar datos nutricionales individuales y agregados en tiempo real durante la creación o consulta de mezclas.</t>
  </si>
  <si>
    <t>Permitir que el cliente evalúe el valor nutricional de productos o mezclas para tomar decisiones informadas.</t>
  </si>
  <si>
    <t>Actor accede a “Datos Nutricionales” o el sistema los muestra automáticamente. Mostrar datos nutricionales del producto individual. Para mezclas, sumar datos de cada componente.</t>
  </si>
  <si>
    <t>Ver datos nutricionales al seleccionar un producto. Ver datos nutricionales agregados al diseñar una mezcla. Actualización dinámica al cambiar cantidades o componentes. Mensaje “Información no disponible” si faltan datos.</t>
  </si>
  <si>
    <t>HU-MostrarDatosNutricionales</t>
  </si>
  <si>
    <t>REQ018</t>
  </si>
  <si>
    <t>Sistema lento con muchos datos.</t>
  </si>
  <si>
    <t>Mejorar rendimiento.</t>
  </si>
  <si>
    <t>Acelerar respuestas al usuario.</t>
  </si>
  <si>
    <t>Propietario / Cliente</t>
  </si>
  <si>
    <t>Optimizar consultas y CRUD.</t>
  </si>
  <si>
    <t>Crítico</t>
  </si>
  <si>
    <t>Medir tiempos &lt;1 s en consultas.</t>
  </si>
  <si>
    <t>Rendimiento</t>
  </si>
  <si>
    <t>El sistema debe permitir al cliente diseñar mezclas personalizadas</t>
  </si>
  <si>
    <t>Para ofrecer a los clientes una experiencia personalizada</t>
  </si>
  <si>
    <t>Seleccionar productos y cantidades para crear la mezcla</t>
  </si>
  <si>
    <t>Verificar que el producto se elimine del sistema.</t>
  </si>
  <si>
    <t>Diseñar mezcla personalizada</t>
  </si>
  <si>
    <t>El sistema debe permitir generar reportes de ventas</t>
  </si>
  <si>
    <t>Generar reportes de ventas por fecha, cliente, y producto</t>
  </si>
  <si>
    <t>Para poder hacer un seguimiento de las ventas y el rendimiento</t>
  </si>
  <si>
    <t>Seleccionar filtros de fecha, cliente, y productos para generar el reporte</t>
  </si>
  <si>
    <t>Verificar que se muestre la lista completa y filtrada.</t>
  </si>
  <si>
    <t>Generar reportes de ventas</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</si>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</sst>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6">
    <font>
      <sz val="11.0"/>
      <color theme="1"/>
      <name val="Arial"/>
      <scheme val="minor"/>
    </font>
    <font>
      <sz val="11.0"/>
      <color theme="1"/>
      <name val="Arial Narrow"/>
    </font>
    <font>
      <b/>
      <i/>
      <sz val="11.0"/>
      <color theme="1"/>
      <name val="Arial Narrow"/>
    </font>
    <font/>
    <font>
      <b/>
      <i/>
      <sz val="11.0"/>
      <color rgb="FF9C6500"/>
      <name val="Arial Narrow"/>
    </font>
    <font>
      <sz val="11.0"/>
      <color rgb="FF000000"/>
      <name val="Arial Narrow"/>
    </font>
    <font>
      <b/>
      <sz val="11.0"/>
      <color theme="1"/>
      <name val="Arial Narrow"/>
    </font>
    <font>
      <color theme="1"/>
      <name val="Arial"/>
      <scheme val="minor"/>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s>
  <fills count="10">
    <fill>
      <patternFill patternType="none"/>
    </fill>
    <fill>
      <patternFill patternType="lightGray"/>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1" fillId="0" fontId="2" numFmtId="0" xfId="0" applyAlignment="1" applyBorder="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ill="1" applyFont="1">
      <alignment horizontal="center" shrinkToFit="0" vertical="center" wrapText="1"/>
    </xf>
    <xf borderId="4" fillId="3" fontId="1" numFmtId="0" xfId="0" applyAlignment="1" applyBorder="1" applyFill="1" applyFont="1">
      <alignment horizontal="center" readingOrder="0" shrinkToFit="0" vertical="center" wrapText="1"/>
    </xf>
    <xf borderId="4" fillId="0" fontId="1" numFmtId="0" xfId="0" applyAlignment="1" applyBorder="1" applyFont="1">
      <alignment horizontal="center" readingOrder="0" shrinkToFit="0" vertical="center" wrapText="1"/>
    </xf>
    <xf borderId="4" fillId="0" fontId="1" numFmtId="164" xfId="0" applyAlignment="1" applyBorder="1" applyFont="1" applyNumberFormat="1">
      <alignment horizontal="center" readingOrder="0" shrinkToFit="0" vertical="center" wrapText="1"/>
    </xf>
    <xf borderId="4" fillId="0" fontId="1" numFmtId="49" xfId="0" applyAlignment="1" applyBorder="1" applyFont="1" applyNumberFormat="1">
      <alignment horizontal="center" readingOrder="0" shrinkToFit="0" vertical="center" wrapText="1"/>
    </xf>
    <xf borderId="4" fillId="4" fontId="5" numFmtId="0" xfId="0" applyAlignment="1" applyBorder="1" applyFill="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3" fontId="6" numFmtId="0" xfId="0" applyAlignment="1" applyBorder="1" applyFont="1">
      <alignment horizontal="center" readingOrder="0" shrinkToFit="0" vertical="center" wrapText="1"/>
    </xf>
    <xf borderId="4" fillId="3"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4" fillId="4" fontId="1" numFmtId="0" xfId="0" applyAlignment="1" applyBorder="1" applyFont="1">
      <alignment horizontal="center" shrinkToFit="0" vertical="center" wrapText="1"/>
    </xf>
    <xf borderId="4" fillId="0" fontId="1" numFmtId="164" xfId="0" applyAlignment="1" applyBorder="1" applyFont="1" applyNumberFormat="1">
      <alignment horizontal="center" shrinkToFit="0" vertical="center" wrapText="1"/>
    </xf>
    <xf borderId="4" fillId="0" fontId="1" numFmtId="49" xfId="0" applyAlignment="1" applyBorder="1" applyFont="1" applyNumberFormat="1">
      <alignment horizontal="center" shrinkToFit="0" vertical="center" wrapText="1"/>
    </xf>
    <xf borderId="0" fillId="0" fontId="1" numFmtId="0" xfId="0" applyAlignment="1" applyFont="1">
      <alignment horizontal="center" shrinkToFit="0" vertical="center" wrapText="1"/>
    </xf>
    <xf borderId="0" fillId="0" fontId="7" numFmtId="0" xfId="0" applyAlignment="1" applyFont="1">
      <alignment shrinkToFit="0" wrapText="1"/>
    </xf>
    <xf borderId="0" fillId="0" fontId="8" numFmtId="0" xfId="0" applyAlignment="1" applyFont="1">
      <alignment horizontal="left" shrinkToFit="0" vertical="center" wrapText="1"/>
    </xf>
    <xf borderId="0" fillId="0" fontId="9" numFmtId="0" xfId="0" applyAlignment="1" applyFont="1">
      <alignment shrinkToFit="0" wrapText="1"/>
    </xf>
    <xf borderId="1" fillId="5" fontId="10" numFmtId="0" xfId="0" applyAlignment="1" applyBorder="1" applyFill="1" applyFont="1">
      <alignment horizontal="center" shrinkToFit="0" vertical="center" wrapText="1"/>
    </xf>
    <xf borderId="0" fillId="0" fontId="11" numFmtId="0" xfId="0" applyAlignment="1" applyFont="1">
      <alignment shrinkToFit="0" wrapText="1"/>
    </xf>
    <xf borderId="0" fillId="0" fontId="8" numFmtId="0" xfId="0" applyAlignment="1" applyFont="1">
      <alignment horizontal="center" shrinkToFit="0" vertical="center" wrapText="1"/>
    </xf>
    <xf borderId="5" fillId="5" fontId="11" numFmtId="0" xfId="0" applyAlignment="1" applyBorder="1" applyFont="1">
      <alignment shrinkToFit="0" wrapText="1"/>
    </xf>
    <xf borderId="6" fillId="5" fontId="8" numFmtId="0" xfId="0" applyAlignment="1" applyBorder="1" applyFont="1">
      <alignment horizontal="left" shrinkToFit="0" vertical="center" wrapText="1"/>
    </xf>
    <xf borderId="6" fillId="5" fontId="9" numFmtId="0" xfId="0" applyAlignment="1" applyBorder="1" applyFont="1">
      <alignment shrinkToFit="0" wrapText="1"/>
    </xf>
    <xf borderId="6" fillId="5" fontId="11" numFmtId="0" xfId="0" applyAlignment="1" applyBorder="1" applyFont="1">
      <alignment shrinkToFit="0" wrapText="1"/>
    </xf>
    <xf borderId="7" fillId="5" fontId="11" numFmtId="0" xfId="0" applyAlignment="1" applyBorder="1" applyFont="1">
      <alignment shrinkToFit="0" wrapText="1"/>
    </xf>
    <xf borderId="8" fillId="5" fontId="11" numFmtId="0" xfId="0" applyAlignment="1" applyBorder="1" applyFont="1">
      <alignment shrinkToFit="0" wrapText="1"/>
    </xf>
    <xf borderId="4" fillId="6" fontId="12" numFmtId="0" xfId="0" applyAlignment="1" applyBorder="1" applyFill="1" applyFont="1">
      <alignment horizontal="center" shrinkToFit="0" vertical="center" wrapText="1"/>
    </xf>
    <xf borderId="9" fillId="5" fontId="13" numFmtId="0" xfId="0" applyAlignment="1" applyBorder="1" applyFont="1">
      <alignment shrinkToFit="0" vertical="center" wrapText="1"/>
    </xf>
    <xf borderId="1" fillId="6" fontId="12" numFmtId="0" xfId="0" applyAlignment="1" applyBorder="1" applyFont="1">
      <alignment horizontal="center" shrinkToFit="0" vertical="center" wrapText="1"/>
    </xf>
    <xf borderId="9" fillId="5" fontId="11" numFmtId="0" xfId="0" applyAlignment="1" applyBorder="1" applyFont="1">
      <alignment shrinkToFit="0" wrapText="1"/>
    </xf>
    <xf borderId="10" fillId="5" fontId="11" numFmtId="0" xfId="0" applyAlignment="1" applyBorder="1" applyFont="1">
      <alignment shrinkToFit="0" wrapText="1"/>
    </xf>
    <xf borderId="4" fillId="7" fontId="14" numFmtId="0" xfId="0" applyAlignment="1" applyBorder="1" applyFill="1" applyFont="1">
      <alignment horizontal="center" readingOrder="0" shrinkToFit="0" vertical="center" wrapText="1"/>
    </xf>
    <xf borderId="9" fillId="5" fontId="9" numFmtId="0" xfId="0" applyAlignment="1" applyBorder="1" applyFont="1">
      <alignment shrinkToFit="0" vertical="center" wrapText="1"/>
    </xf>
    <xf borderId="1" fillId="7" fontId="9" numFmtId="0" xfId="0" applyAlignment="1" applyBorder="1" applyFont="1">
      <alignment horizontal="center" shrinkToFit="0" vertical="center" wrapText="1"/>
    </xf>
    <xf borderId="9" fillId="5" fontId="14" numFmtId="0" xfId="0" applyAlignment="1" applyBorder="1" applyFont="1">
      <alignment horizontal="center" shrinkToFit="0" vertical="center" wrapText="1"/>
    </xf>
    <xf borderId="9" fillId="5" fontId="9" numFmtId="0" xfId="0" applyAlignment="1" applyBorder="1" applyFont="1">
      <alignment horizontal="center" shrinkToFit="0" vertical="center" wrapText="1"/>
    </xf>
    <xf borderId="4" fillId="7" fontId="14" numFmtId="0" xfId="0" applyAlignment="1" applyBorder="1" applyFont="1">
      <alignment horizontal="center" shrinkToFit="0" vertical="center" wrapText="1"/>
    </xf>
    <xf borderId="11" fillId="8" fontId="12" numFmtId="0" xfId="0" applyAlignment="1" applyBorder="1" applyFill="1" applyFont="1">
      <alignment horizontal="center" shrinkToFit="0" vertical="center" wrapText="1"/>
    </xf>
    <xf borderId="12" fillId="7" fontId="9" numFmtId="0" xfId="0" applyAlignment="1" applyBorder="1" applyFont="1">
      <alignment horizontal="center" shrinkToFit="0" vertical="center" wrapText="1"/>
    </xf>
    <xf borderId="13" fillId="0" fontId="3" numFmtId="0" xfId="0" applyBorder="1" applyFont="1"/>
    <xf borderId="9" fillId="5" fontId="11" numFmtId="0" xfId="0" applyAlignment="1" applyBorder="1" applyFont="1">
      <alignment horizontal="center" shrinkToFit="0" wrapText="1"/>
    </xf>
    <xf borderId="14" fillId="0" fontId="3" numFmtId="0" xfId="0" applyBorder="1" applyFont="1"/>
    <xf borderId="12" fillId="7" fontId="9" numFmtId="0" xfId="0" applyAlignment="1" applyBorder="1" applyFont="1">
      <alignment horizontal="left" shrinkToFit="0" vertical="center" wrapText="1"/>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12" fillId="9" fontId="15" numFmtId="0" xfId="0" applyAlignment="1" applyBorder="1" applyFill="1" applyFont="1">
      <alignment horizontal="center" shrinkToFit="0" vertical="center" wrapText="1"/>
    </xf>
    <xf borderId="22" fillId="2" fontId="14" numFmtId="0" xfId="0" applyAlignment="1" applyBorder="1" applyFont="1">
      <alignment horizontal="center" shrinkToFit="0" vertical="center" wrapText="1"/>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2" fillId="6" fontId="12" numFmtId="0" xfId="0" applyAlignment="1" applyBorder="1" applyFont="1">
      <alignment horizontal="center" shrinkToFit="0" vertical="center" wrapText="1"/>
    </xf>
    <xf borderId="12" fillId="7" fontId="9" numFmtId="49" xfId="0" applyAlignment="1" applyBorder="1" applyFont="1" applyNumberFormat="1">
      <alignment horizontal="left" shrinkToFit="0" vertical="center" wrapText="1"/>
    </xf>
    <xf borderId="28" fillId="5" fontId="11" numFmtId="0" xfId="0" applyAlignment="1" applyBorder="1" applyFont="1">
      <alignment shrinkToFit="0" wrapText="1"/>
    </xf>
    <xf borderId="29" fillId="5" fontId="11" numFmtId="0" xfId="0" applyAlignment="1" applyBorder="1" applyFont="1">
      <alignment shrinkToFit="0" wrapText="1"/>
    </xf>
    <xf borderId="30" fillId="5" fontId="11" numFmtId="0" xfId="0" applyAlignment="1" applyBorder="1" applyFont="1">
      <alignment shrinkToFit="0" wrapText="1"/>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63"/>
    <col customWidth="1" min="2" max="2" width="6.63"/>
    <col customWidth="1" min="3" max="5" width="20.63"/>
    <col customWidth="1" min="6" max="6" width="13.13"/>
    <col customWidth="1" min="7" max="7" width="32.5"/>
    <col customWidth="1" min="8" max="12" width="10.63"/>
    <col customWidth="1" min="13" max="13" width="32.75"/>
    <col customWidth="1" min="14" max="14" width="20.63"/>
    <col customWidth="1" min="15" max="15" width="22.75"/>
    <col customWidth="1" min="16" max="26" width="9.3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ht="45.0" customHeight="1">
      <c r="A3" s="1"/>
      <c r="B3" s="2" t="s">
        <v>0</v>
      </c>
      <c r="C3" s="3"/>
      <c r="D3" s="3"/>
      <c r="E3" s="3"/>
      <c r="F3" s="3"/>
      <c r="G3" s="3"/>
      <c r="H3" s="3"/>
      <c r="I3" s="3"/>
      <c r="J3" s="3"/>
      <c r="K3" s="3"/>
      <c r="L3" s="3"/>
      <c r="M3" s="3"/>
      <c r="N3" s="3"/>
      <c r="O3" s="4"/>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ht="60.0" customHeight="1">
      <c r="A5" s="1"/>
      <c r="B5" s="5" t="s">
        <v>1</v>
      </c>
      <c r="C5" s="5" t="s">
        <v>2</v>
      </c>
      <c r="D5" s="5" t="s">
        <v>3</v>
      </c>
      <c r="E5" s="5" t="s">
        <v>4</v>
      </c>
      <c r="F5" s="5" t="s">
        <v>5</v>
      </c>
      <c r="G5" s="5" t="s">
        <v>6</v>
      </c>
      <c r="H5" s="5" t="s">
        <v>7</v>
      </c>
      <c r="I5" s="5" t="s">
        <v>8</v>
      </c>
      <c r="J5" s="5" t="s">
        <v>9</v>
      </c>
      <c r="K5" s="5" t="s">
        <v>10</v>
      </c>
      <c r="L5" s="5" t="s">
        <v>11</v>
      </c>
      <c r="M5" s="5" t="s">
        <v>12</v>
      </c>
      <c r="N5" s="5" t="s">
        <v>13</v>
      </c>
      <c r="O5" s="5" t="s">
        <v>14</v>
      </c>
      <c r="P5" s="1"/>
      <c r="Q5" s="1"/>
      <c r="R5" s="1"/>
      <c r="S5" s="1"/>
      <c r="T5" s="1"/>
      <c r="U5" s="1"/>
      <c r="V5" s="1"/>
      <c r="W5" s="1"/>
      <c r="X5" s="1"/>
      <c r="Y5" s="1"/>
      <c r="Z5" s="1"/>
    </row>
    <row r="6" ht="75.75" customHeight="1">
      <c r="A6" s="1"/>
      <c r="B6" s="6" t="s">
        <v>15</v>
      </c>
      <c r="C6" s="7" t="s">
        <v>16</v>
      </c>
      <c r="D6" s="7" t="s">
        <v>17</v>
      </c>
      <c r="E6" s="7" t="s">
        <v>18</v>
      </c>
      <c r="F6" s="7" t="s">
        <v>19</v>
      </c>
      <c r="G6" s="7" t="s">
        <v>20</v>
      </c>
      <c r="H6" s="7" t="s">
        <v>21</v>
      </c>
      <c r="I6" s="7">
        <v>6.0</v>
      </c>
      <c r="J6" s="8">
        <v>45976.0</v>
      </c>
      <c r="K6" s="7" t="s">
        <v>22</v>
      </c>
      <c r="L6" s="7" t="s">
        <v>23</v>
      </c>
      <c r="M6" s="9" t="s">
        <v>24</v>
      </c>
      <c r="N6" s="7"/>
      <c r="O6" s="7" t="s">
        <v>25</v>
      </c>
      <c r="P6" s="1"/>
      <c r="Q6" s="1"/>
      <c r="R6" s="1"/>
      <c r="S6" s="1"/>
      <c r="T6" s="1"/>
      <c r="U6" s="1"/>
      <c r="V6" s="1"/>
      <c r="W6" s="1"/>
      <c r="X6" s="1"/>
      <c r="Y6" s="1"/>
      <c r="Z6" s="1"/>
    </row>
    <row r="7" ht="64.5" customHeight="1">
      <c r="A7" s="1"/>
      <c r="B7" s="6" t="s">
        <v>26</v>
      </c>
      <c r="C7" s="7" t="s">
        <v>27</v>
      </c>
      <c r="D7" s="7" t="s">
        <v>28</v>
      </c>
      <c r="E7" s="7" t="s">
        <v>29</v>
      </c>
      <c r="F7" s="7" t="s">
        <v>19</v>
      </c>
      <c r="G7" s="7" t="s">
        <v>30</v>
      </c>
      <c r="H7" s="7" t="s">
        <v>21</v>
      </c>
      <c r="I7" s="7">
        <v>6.0</v>
      </c>
      <c r="J7" s="8">
        <v>45979.0</v>
      </c>
      <c r="K7" s="7" t="s">
        <v>22</v>
      </c>
      <c r="L7" s="7" t="s">
        <v>23</v>
      </c>
      <c r="M7" s="9" t="s">
        <v>31</v>
      </c>
      <c r="N7" s="7"/>
      <c r="O7" s="7" t="s">
        <v>32</v>
      </c>
      <c r="P7" s="1"/>
      <c r="Q7" s="1"/>
      <c r="R7" s="1"/>
      <c r="S7" s="1"/>
      <c r="T7" s="1"/>
      <c r="U7" s="1"/>
      <c r="V7" s="1"/>
      <c r="W7" s="1"/>
      <c r="X7" s="1"/>
      <c r="Y7" s="1"/>
      <c r="Z7" s="1"/>
    </row>
    <row r="8" ht="70.5" customHeight="1">
      <c r="A8" s="1"/>
      <c r="B8" s="6" t="s">
        <v>33</v>
      </c>
      <c r="C8" s="7" t="s">
        <v>34</v>
      </c>
      <c r="D8" s="10" t="s">
        <v>35</v>
      </c>
      <c r="E8" s="7" t="s">
        <v>36</v>
      </c>
      <c r="F8" s="7" t="s">
        <v>19</v>
      </c>
      <c r="G8" s="10" t="s">
        <v>37</v>
      </c>
      <c r="H8" s="7" t="s">
        <v>21</v>
      </c>
      <c r="I8" s="7">
        <v>5.0</v>
      </c>
      <c r="J8" s="8">
        <v>45981.0</v>
      </c>
      <c r="K8" s="7" t="s">
        <v>22</v>
      </c>
      <c r="L8" s="7" t="s">
        <v>23</v>
      </c>
      <c r="M8" s="7" t="s">
        <v>38</v>
      </c>
      <c r="N8" s="7"/>
      <c r="O8" s="7" t="s">
        <v>39</v>
      </c>
      <c r="P8" s="1"/>
      <c r="Q8" s="1"/>
      <c r="R8" s="1"/>
      <c r="S8" s="1"/>
      <c r="T8" s="1"/>
      <c r="U8" s="1"/>
      <c r="V8" s="1"/>
      <c r="W8" s="1"/>
      <c r="X8" s="1"/>
      <c r="Y8" s="1"/>
      <c r="Z8" s="1"/>
    </row>
    <row r="9" ht="61.5" customHeight="1">
      <c r="A9" s="1"/>
      <c r="B9" s="6" t="s">
        <v>40</v>
      </c>
      <c r="C9" s="7" t="s">
        <v>41</v>
      </c>
      <c r="D9" s="11" t="s">
        <v>42</v>
      </c>
      <c r="E9" s="7" t="s">
        <v>43</v>
      </c>
      <c r="F9" s="7" t="s">
        <v>19</v>
      </c>
      <c r="G9" s="10" t="s">
        <v>44</v>
      </c>
      <c r="H9" s="7" t="s">
        <v>21</v>
      </c>
      <c r="I9" s="7">
        <v>5.0</v>
      </c>
      <c r="J9" s="8">
        <v>45980.0</v>
      </c>
      <c r="K9" s="7" t="s">
        <v>22</v>
      </c>
      <c r="L9" s="7" t="s">
        <v>23</v>
      </c>
      <c r="M9" s="7" t="s">
        <v>45</v>
      </c>
      <c r="N9" s="7"/>
      <c r="O9" s="7" t="s">
        <v>46</v>
      </c>
      <c r="P9" s="1"/>
      <c r="Q9" s="1"/>
      <c r="R9" s="1"/>
      <c r="S9" s="1"/>
      <c r="T9" s="1"/>
      <c r="U9" s="1"/>
      <c r="V9" s="1"/>
      <c r="W9" s="1"/>
      <c r="X9" s="1"/>
      <c r="Y9" s="1"/>
      <c r="Z9" s="1"/>
    </row>
    <row r="10" ht="117.75" customHeight="1">
      <c r="A10" s="1"/>
      <c r="B10" s="6" t="s">
        <v>47</v>
      </c>
      <c r="C10" s="7" t="s">
        <v>48</v>
      </c>
      <c r="D10" s="10" t="s">
        <v>49</v>
      </c>
      <c r="E10" s="7" t="s">
        <v>50</v>
      </c>
      <c r="F10" s="7" t="s">
        <v>19</v>
      </c>
      <c r="G10" s="10" t="s">
        <v>51</v>
      </c>
      <c r="H10" s="7" t="s">
        <v>52</v>
      </c>
      <c r="I10" s="7">
        <v>4.0</v>
      </c>
      <c r="J10" s="8">
        <v>45979.0</v>
      </c>
      <c r="K10" s="7" t="s">
        <v>22</v>
      </c>
      <c r="L10" s="7" t="s">
        <v>23</v>
      </c>
      <c r="M10" s="7" t="s">
        <v>53</v>
      </c>
      <c r="N10" s="7" t="s">
        <v>54</v>
      </c>
      <c r="O10" s="7" t="s">
        <v>55</v>
      </c>
      <c r="P10" s="1"/>
      <c r="Q10" s="1"/>
      <c r="R10" s="1"/>
      <c r="S10" s="1"/>
      <c r="T10" s="1"/>
      <c r="U10" s="1"/>
      <c r="V10" s="1"/>
      <c r="W10" s="1"/>
      <c r="X10" s="1"/>
      <c r="Y10" s="1"/>
      <c r="Z10" s="1"/>
    </row>
    <row r="11" ht="99.0" customHeight="1">
      <c r="A11" s="1"/>
      <c r="B11" s="6" t="s">
        <v>56</v>
      </c>
      <c r="C11" s="7" t="s">
        <v>57</v>
      </c>
      <c r="D11" s="10" t="s">
        <v>58</v>
      </c>
      <c r="E11" s="7" t="s">
        <v>59</v>
      </c>
      <c r="F11" s="7" t="s">
        <v>19</v>
      </c>
      <c r="G11" s="10" t="s">
        <v>60</v>
      </c>
      <c r="H11" s="7" t="s">
        <v>52</v>
      </c>
      <c r="I11" s="7">
        <v>4.0</v>
      </c>
      <c r="J11" s="8">
        <v>45979.0</v>
      </c>
      <c r="K11" s="7" t="s">
        <v>22</v>
      </c>
      <c r="L11" s="7" t="s">
        <v>23</v>
      </c>
      <c r="M11" s="7" t="s">
        <v>61</v>
      </c>
      <c r="N11" s="7" t="s">
        <v>62</v>
      </c>
      <c r="O11" s="7" t="s">
        <v>63</v>
      </c>
      <c r="P11" s="1"/>
      <c r="Q11" s="1"/>
      <c r="R11" s="1"/>
      <c r="S11" s="1"/>
      <c r="T11" s="1"/>
      <c r="U11" s="1"/>
      <c r="V11" s="1"/>
      <c r="W11" s="1"/>
      <c r="X11" s="1"/>
      <c r="Y11" s="1"/>
      <c r="Z11" s="1"/>
    </row>
    <row r="12" ht="83.25" customHeight="1">
      <c r="A12" s="1"/>
      <c r="B12" s="6" t="s">
        <v>64</v>
      </c>
      <c r="C12" s="7" t="s">
        <v>65</v>
      </c>
      <c r="D12" s="10" t="s">
        <v>66</v>
      </c>
      <c r="E12" s="7" t="s">
        <v>67</v>
      </c>
      <c r="F12" s="7" t="s">
        <v>19</v>
      </c>
      <c r="G12" s="10" t="s">
        <v>68</v>
      </c>
      <c r="H12" s="7" t="s">
        <v>52</v>
      </c>
      <c r="I12" s="7">
        <v>4.0</v>
      </c>
      <c r="J12" s="8">
        <v>45979.0</v>
      </c>
      <c r="K12" s="7" t="s">
        <v>22</v>
      </c>
      <c r="L12" s="7" t="s">
        <v>23</v>
      </c>
      <c r="M12" s="7" t="s">
        <v>69</v>
      </c>
      <c r="N12" s="7" t="s">
        <v>70</v>
      </c>
      <c r="O12" s="7" t="s">
        <v>71</v>
      </c>
      <c r="P12" s="1"/>
      <c r="Q12" s="1"/>
      <c r="R12" s="1"/>
      <c r="S12" s="1"/>
      <c r="T12" s="1"/>
      <c r="U12" s="1"/>
      <c r="V12" s="1"/>
      <c r="W12" s="1"/>
      <c r="X12" s="1"/>
      <c r="Y12" s="1"/>
      <c r="Z12" s="1"/>
    </row>
    <row r="13" ht="82.5" customHeight="1">
      <c r="A13" s="1"/>
      <c r="B13" s="6" t="s">
        <v>72</v>
      </c>
      <c r="C13" s="7" t="s">
        <v>73</v>
      </c>
      <c r="D13" s="7" t="s">
        <v>74</v>
      </c>
      <c r="E13" s="7" t="s">
        <v>75</v>
      </c>
      <c r="F13" s="7" t="s">
        <v>19</v>
      </c>
      <c r="G13" s="10" t="s">
        <v>76</v>
      </c>
      <c r="H13" s="7" t="s">
        <v>52</v>
      </c>
      <c r="I13" s="7">
        <v>8.0</v>
      </c>
      <c r="J13" s="8">
        <v>45979.0</v>
      </c>
      <c r="K13" s="7" t="s">
        <v>22</v>
      </c>
      <c r="L13" s="7" t="s">
        <v>23</v>
      </c>
      <c r="M13" s="7" t="s">
        <v>77</v>
      </c>
      <c r="N13" s="7" t="s">
        <v>78</v>
      </c>
      <c r="O13" s="7" t="s">
        <v>79</v>
      </c>
      <c r="P13" s="1"/>
      <c r="Q13" s="1"/>
      <c r="R13" s="1"/>
      <c r="S13" s="1"/>
      <c r="T13" s="1"/>
      <c r="U13" s="1"/>
      <c r="V13" s="1"/>
      <c r="W13" s="1"/>
      <c r="X13" s="1"/>
      <c r="Y13" s="1"/>
      <c r="Z13" s="1"/>
    </row>
    <row r="14" ht="39.75" customHeight="1">
      <c r="A14" s="1"/>
      <c r="B14" s="12" t="s">
        <v>80</v>
      </c>
      <c r="C14" s="7" t="s">
        <v>81</v>
      </c>
      <c r="D14" s="7" t="s">
        <v>82</v>
      </c>
      <c r="E14" s="7" t="s">
        <v>83</v>
      </c>
      <c r="F14" s="7" t="s">
        <v>19</v>
      </c>
      <c r="G14" s="10" t="s">
        <v>84</v>
      </c>
      <c r="H14" s="7" t="s">
        <v>85</v>
      </c>
      <c r="I14" s="7">
        <v>6.0</v>
      </c>
      <c r="J14" s="8">
        <v>45979.0</v>
      </c>
      <c r="K14" s="7" t="s">
        <v>86</v>
      </c>
      <c r="L14" s="7" t="s">
        <v>23</v>
      </c>
      <c r="M14" s="7" t="s">
        <v>87</v>
      </c>
      <c r="N14" s="7" t="s">
        <v>88</v>
      </c>
      <c r="O14" s="7" t="s">
        <v>89</v>
      </c>
      <c r="P14" s="1"/>
      <c r="Q14" s="1"/>
      <c r="R14" s="1"/>
      <c r="S14" s="1"/>
      <c r="T14" s="1"/>
      <c r="U14" s="1"/>
      <c r="V14" s="1"/>
      <c r="W14" s="1"/>
      <c r="X14" s="1"/>
      <c r="Y14" s="1"/>
      <c r="Z14" s="1"/>
    </row>
    <row r="15" ht="72.0" customHeight="1">
      <c r="A15" s="1"/>
      <c r="B15" s="12" t="s">
        <v>90</v>
      </c>
      <c r="C15" s="7" t="s">
        <v>91</v>
      </c>
      <c r="D15" s="7" t="s">
        <v>92</v>
      </c>
      <c r="E15" s="7" t="s">
        <v>93</v>
      </c>
      <c r="F15" s="7" t="s">
        <v>19</v>
      </c>
      <c r="G15" s="10" t="s">
        <v>94</v>
      </c>
      <c r="H15" s="7" t="s">
        <v>85</v>
      </c>
      <c r="I15" s="7">
        <v>6.0</v>
      </c>
      <c r="J15" s="8">
        <v>45979.0</v>
      </c>
      <c r="K15" s="7" t="s">
        <v>22</v>
      </c>
      <c r="L15" s="7" t="s">
        <v>23</v>
      </c>
      <c r="M15" s="7" t="s">
        <v>95</v>
      </c>
      <c r="N15" s="7" t="s">
        <v>96</v>
      </c>
      <c r="O15" s="7" t="s">
        <v>97</v>
      </c>
      <c r="P15" s="1"/>
      <c r="Q15" s="1"/>
      <c r="R15" s="1"/>
      <c r="S15" s="1"/>
      <c r="T15" s="1"/>
      <c r="U15" s="1"/>
      <c r="V15" s="1"/>
      <c r="W15" s="1"/>
      <c r="X15" s="1"/>
      <c r="Y15" s="1"/>
      <c r="Z15" s="1"/>
    </row>
    <row r="16" ht="39.75" customHeight="1">
      <c r="A16" s="1"/>
      <c r="B16" s="12" t="s">
        <v>98</v>
      </c>
      <c r="C16" s="7" t="s">
        <v>99</v>
      </c>
      <c r="D16" s="7" t="s">
        <v>100</v>
      </c>
      <c r="E16" s="7" t="s">
        <v>101</v>
      </c>
      <c r="F16" s="7" t="s">
        <v>19</v>
      </c>
      <c r="G16" s="10" t="s">
        <v>102</v>
      </c>
      <c r="H16" s="7" t="s">
        <v>85</v>
      </c>
      <c r="I16" s="7">
        <v>4.0</v>
      </c>
      <c r="J16" s="8">
        <v>45979.0</v>
      </c>
      <c r="K16" s="7" t="s">
        <v>22</v>
      </c>
      <c r="L16" s="7" t="s">
        <v>23</v>
      </c>
      <c r="M16" s="7" t="s">
        <v>103</v>
      </c>
      <c r="N16" s="7" t="s">
        <v>104</v>
      </c>
      <c r="O16" s="7" t="s">
        <v>105</v>
      </c>
      <c r="P16" s="1"/>
      <c r="Q16" s="1"/>
      <c r="R16" s="1"/>
      <c r="S16" s="1"/>
      <c r="T16" s="1"/>
      <c r="U16" s="1"/>
      <c r="V16" s="1"/>
      <c r="W16" s="1"/>
      <c r="X16" s="1"/>
      <c r="Y16" s="1"/>
      <c r="Z16" s="1"/>
    </row>
    <row r="17" ht="39.75" customHeight="1">
      <c r="A17" s="1"/>
      <c r="B17" s="12" t="s">
        <v>106</v>
      </c>
      <c r="C17" s="7" t="s">
        <v>107</v>
      </c>
      <c r="D17" s="7" t="s">
        <v>108</v>
      </c>
      <c r="E17" s="7" t="s">
        <v>109</v>
      </c>
      <c r="F17" s="7" t="s">
        <v>19</v>
      </c>
      <c r="G17" s="10" t="s">
        <v>110</v>
      </c>
      <c r="H17" s="7" t="s">
        <v>85</v>
      </c>
      <c r="I17" s="7">
        <v>3.0</v>
      </c>
      <c r="J17" s="8">
        <v>45979.0</v>
      </c>
      <c r="K17" s="7" t="s">
        <v>22</v>
      </c>
      <c r="L17" s="7" t="s">
        <v>23</v>
      </c>
      <c r="M17" s="7" t="s">
        <v>111</v>
      </c>
      <c r="N17" s="7" t="s">
        <v>112</v>
      </c>
      <c r="O17" s="7" t="s">
        <v>113</v>
      </c>
      <c r="P17" s="1"/>
      <c r="Q17" s="1"/>
      <c r="R17" s="1"/>
      <c r="S17" s="1"/>
      <c r="T17" s="1"/>
      <c r="U17" s="1"/>
      <c r="V17" s="1"/>
      <c r="W17" s="1"/>
      <c r="X17" s="1"/>
      <c r="Y17" s="1"/>
      <c r="Z17" s="1"/>
    </row>
    <row r="18" ht="39.75" customHeight="1">
      <c r="A18" s="1"/>
      <c r="B18" s="12" t="s">
        <v>114</v>
      </c>
      <c r="C18" s="7" t="s">
        <v>115</v>
      </c>
      <c r="D18" s="7" t="s">
        <v>116</v>
      </c>
      <c r="E18" s="7" t="s">
        <v>117</v>
      </c>
      <c r="F18" s="7" t="s">
        <v>19</v>
      </c>
      <c r="G18" s="10" t="s">
        <v>118</v>
      </c>
      <c r="H18" s="7" t="s">
        <v>85</v>
      </c>
      <c r="I18" s="7">
        <v>5.0</v>
      </c>
      <c r="J18" s="8">
        <v>45979.0</v>
      </c>
      <c r="K18" s="7" t="s">
        <v>22</v>
      </c>
      <c r="L18" s="7" t="s">
        <v>23</v>
      </c>
      <c r="M18" s="7" t="s">
        <v>119</v>
      </c>
      <c r="N18" s="7" t="s">
        <v>120</v>
      </c>
      <c r="O18" s="7" t="s">
        <v>121</v>
      </c>
      <c r="P18" s="1"/>
      <c r="Q18" s="1"/>
      <c r="R18" s="1"/>
      <c r="S18" s="1"/>
      <c r="T18" s="1"/>
      <c r="U18" s="1"/>
      <c r="V18" s="1"/>
      <c r="W18" s="1"/>
      <c r="X18" s="1"/>
      <c r="Y18" s="1"/>
      <c r="Z18" s="1"/>
    </row>
    <row r="19">
      <c r="A19" s="1"/>
      <c r="B19" s="12" t="s">
        <v>122</v>
      </c>
      <c r="C19" s="7" t="s">
        <v>123</v>
      </c>
      <c r="D19" s="7" t="s">
        <v>124</v>
      </c>
      <c r="E19" s="7" t="s">
        <v>125</v>
      </c>
      <c r="F19" s="7" t="s">
        <v>19</v>
      </c>
      <c r="G19" s="7" t="s">
        <v>126</v>
      </c>
      <c r="H19" s="7" t="s">
        <v>85</v>
      </c>
      <c r="I19" s="7">
        <v>7.0</v>
      </c>
      <c r="J19" s="8">
        <v>45989.0</v>
      </c>
      <c r="K19" s="7" t="s">
        <v>22</v>
      </c>
      <c r="L19" s="7" t="s">
        <v>23</v>
      </c>
      <c r="M19" s="10" t="s">
        <v>127</v>
      </c>
      <c r="N19" s="7" t="s">
        <v>128</v>
      </c>
      <c r="O19" s="7" t="s">
        <v>129</v>
      </c>
      <c r="P19" s="1"/>
      <c r="Q19" s="1"/>
      <c r="R19" s="1"/>
      <c r="S19" s="1"/>
      <c r="T19" s="1"/>
      <c r="U19" s="1"/>
      <c r="V19" s="1"/>
      <c r="W19" s="1"/>
      <c r="X19" s="1"/>
      <c r="Y19" s="1"/>
      <c r="Z19" s="1"/>
    </row>
    <row r="20" ht="15.75" customHeight="1">
      <c r="A20" s="1"/>
      <c r="B20" s="12" t="s">
        <v>130</v>
      </c>
      <c r="C20" s="7" t="s">
        <v>131</v>
      </c>
      <c r="D20" s="10" t="s">
        <v>132</v>
      </c>
      <c r="E20" s="7" t="s">
        <v>133</v>
      </c>
      <c r="F20" s="7" t="s">
        <v>134</v>
      </c>
      <c r="G20" s="10" t="s">
        <v>135</v>
      </c>
      <c r="H20" s="7" t="s">
        <v>136</v>
      </c>
      <c r="I20" s="7">
        <v>16.0</v>
      </c>
      <c r="J20" s="8">
        <v>45979.0</v>
      </c>
      <c r="K20" s="7" t="s">
        <v>22</v>
      </c>
      <c r="L20" s="7" t="s">
        <v>23</v>
      </c>
      <c r="M20" s="7" t="s">
        <v>137</v>
      </c>
      <c r="N20" s="7" t="s">
        <v>138</v>
      </c>
      <c r="O20" s="7" t="s">
        <v>139</v>
      </c>
      <c r="P20" s="1"/>
      <c r="Q20" s="1"/>
      <c r="R20" s="1"/>
      <c r="S20" s="1"/>
      <c r="T20" s="1"/>
      <c r="U20" s="1"/>
      <c r="V20" s="1"/>
      <c r="W20" s="1"/>
      <c r="X20" s="1"/>
      <c r="Y20" s="1"/>
      <c r="Z20" s="1"/>
    </row>
    <row r="21" ht="15.75" customHeight="1">
      <c r="A21" s="1"/>
      <c r="B21" s="12" t="s">
        <v>140</v>
      </c>
      <c r="C21" s="7" t="s">
        <v>141</v>
      </c>
      <c r="D21" s="7" t="s">
        <v>142</v>
      </c>
      <c r="E21" s="7" t="s">
        <v>143</v>
      </c>
      <c r="F21" s="7" t="s">
        <v>134</v>
      </c>
      <c r="G21" s="7" t="s">
        <v>144</v>
      </c>
      <c r="H21" s="7" t="s">
        <v>136</v>
      </c>
      <c r="I21" s="7">
        <v>18.0</v>
      </c>
      <c r="J21" s="8">
        <v>45979.0</v>
      </c>
      <c r="K21" s="7" t="s">
        <v>22</v>
      </c>
      <c r="L21" s="7" t="s">
        <v>23</v>
      </c>
      <c r="M21" s="7" t="s">
        <v>145</v>
      </c>
      <c r="N21" s="7" t="s">
        <v>138</v>
      </c>
      <c r="O21" s="7" t="s">
        <v>146</v>
      </c>
      <c r="P21" s="1"/>
      <c r="Q21" s="1"/>
      <c r="R21" s="1"/>
      <c r="S21" s="1"/>
      <c r="T21" s="1"/>
      <c r="U21" s="1"/>
      <c r="V21" s="1"/>
      <c r="W21" s="1"/>
      <c r="X21" s="1"/>
      <c r="Y21" s="1"/>
      <c r="Z21" s="1"/>
    </row>
    <row r="22" ht="15.75" customHeight="1">
      <c r="A22" s="1"/>
      <c r="B22" s="12" t="s">
        <v>147</v>
      </c>
      <c r="C22" s="7" t="s">
        <v>148</v>
      </c>
      <c r="D22" s="7" t="s">
        <v>149</v>
      </c>
      <c r="E22" s="7" t="s">
        <v>150</v>
      </c>
      <c r="F22" s="7" t="s">
        <v>134</v>
      </c>
      <c r="G22" s="7" t="s">
        <v>151</v>
      </c>
      <c r="H22" s="7" t="s">
        <v>136</v>
      </c>
      <c r="I22" s="7">
        <v>6.0</v>
      </c>
      <c r="J22" s="8">
        <v>45979.0</v>
      </c>
      <c r="K22" s="7" t="s">
        <v>22</v>
      </c>
      <c r="L22" s="7" t="s">
        <v>23</v>
      </c>
      <c r="M22" s="7" t="s">
        <v>152</v>
      </c>
      <c r="N22" s="7" t="s">
        <v>138</v>
      </c>
      <c r="O22" s="7" t="s">
        <v>153</v>
      </c>
      <c r="P22" s="1"/>
      <c r="Q22" s="1"/>
      <c r="R22" s="1"/>
      <c r="S22" s="1"/>
      <c r="T22" s="1"/>
      <c r="U22" s="1"/>
      <c r="V22" s="1"/>
      <c r="W22" s="1"/>
      <c r="X22" s="1"/>
      <c r="Y22" s="1"/>
      <c r="Z22" s="1"/>
    </row>
    <row r="23" ht="15.75" customHeight="1">
      <c r="A23" s="1"/>
      <c r="B23" s="12" t="s">
        <v>154</v>
      </c>
      <c r="C23" s="7" t="s">
        <v>155</v>
      </c>
      <c r="D23" s="7" t="s">
        <v>156</v>
      </c>
      <c r="E23" s="7" t="s">
        <v>157</v>
      </c>
      <c r="F23" s="7" t="s">
        <v>134</v>
      </c>
      <c r="G23" s="7" t="s">
        <v>158</v>
      </c>
      <c r="H23" s="7" t="s">
        <v>136</v>
      </c>
      <c r="I23" s="7">
        <v>8.0</v>
      </c>
      <c r="J23" s="8">
        <v>45979.0</v>
      </c>
      <c r="K23" s="7" t="s">
        <v>22</v>
      </c>
      <c r="L23" s="7" t="s">
        <v>23</v>
      </c>
      <c r="M23" s="7" t="s">
        <v>159</v>
      </c>
      <c r="N23" s="7" t="s">
        <v>138</v>
      </c>
      <c r="O23" s="7" t="s">
        <v>160</v>
      </c>
      <c r="P23" s="1"/>
      <c r="Q23" s="1"/>
      <c r="R23" s="1"/>
      <c r="S23" s="1"/>
      <c r="T23" s="1"/>
      <c r="U23" s="1"/>
      <c r="V23" s="1"/>
      <c r="W23" s="1"/>
      <c r="X23" s="1"/>
      <c r="Y23" s="1"/>
      <c r="Z23" s="1"/>
    </row>
    <row r="24" ht="15.75" customHeight="1">
      <c r="A24" s="1"/>
      <c r="B24" s="6" t="s">
        <v>161</v>
      </c>
      <c r="C24" s="7" t="s">
        <v>162</v>
      </c>
      <c r="D24" s="7" t="s">
        <v>163</v>
      </c>
      <c r="E24" s="7" t="s">
        <v>164</v>
      </c>
      <c r="F24" s="7" t="s">
        <v>165</v>
      </c>
      <c r="G24" s="7" t="s">
        <v>166</v>
      </c>
      <c r="H24" s="7" t="s">
        <v>21</v>
      </c>
      <c r="I24" s="7">
        <v>16.0</v>
      </c>
      <c r="J24" s="8">
        <v>45993.0</v>
      </c>
      <c r="K24" s="7" t="s">
        <v>167</v>
      </c>
      <c r="L24" s="7" t="s">
        <v>23</v>
      </c>
      <c r="M24" s="9" t="s">
        <v>168</v>
      </c>
      <c r="N24" s="7" t="s">
        <v>138</v>
      </c>
      <c r="O24" s="7" t="s">
        <v>169</v>
      </c>
      <c r="P24" s="1"/>
      <c r="Q24" s="1"/>
      <c r="R24" s="1"/>
      <c r="S24" s="1"/>
      <c r="T24" s="1"/>
      <c r="U24" s="1"/>
      <c r="V24" s="1"/>
      <c r="W24" s="1"/>
      <c r="X24" s="1"/>
      <c r="Y24" s="1"/>
      <c r="Z24" s="1"/>
    </row>
    <row r="25" ht="42.0" customHeight="1">
      <c r="A25" s="1"/>
      <c r="B25" s="6"/>
      <c r="C25" s="7" t="s">
        <v>170</v>
      </c>
      <c r="D25" s="10" t="s">
        <v>132</v>
      </c>
      <c r="E25" s="7" t="s">
        <v>171</v>
      </c>
      <c r="F25" s="7" t="s">
        <v>134</v>
      </c>
      <c r="G25" s="10" t="s">
        <v>172</v>
      </c>
      <c r="H25" s="7" t="s">
        <v>136</v>
      </c>
      <c r="I25" s="7">
        <v>4.0</v>
      </c>
      <c r="J25" s="8">
        <v>45978.0</v>
      </c>
      <c r="K25" s="7" t="s">
        <v>22</v>
      </c>
      <c r="L25" s="7" t="s">
        <v>23</v>
      </c>
      <c r="M25" s="7" t="s">
        <v>173</v>
      </c>
      <c r="N25" s="7" t="s">
        <v>138</v>
      </c>
      <c r="O25" s="7" t="s">
        <v>174</v>
      </c>
      <c r="P25" s="1"/>
      <c r="Q25" s="1"/>
      <c r="R25" s="1"/>
      <c r="S25" s="1"/>
      <c r="T25" s="1"/>
      <c r="U25" s="1"/>
      <c r="V25" s="1"/>
      <c r="W25" s="1"/>
      <c r="X25" s="1"/>
      <c r="Y25" s="1"/>
      <c r="Z25" s="1"/>
    </row>
    <row r="26" ht="75.75" customHeight="1">
      <c r="A26" s="1"/>
      <c r="B26" s="6"/>
      <c r="C26" s="7" t="s">
        <v>175</v>
      </c>
      <c r="D26" s="7" t="s">
        <v>176</v>
      </c>
      <c r="E26" s="7" t="s">
        <v>177</v>
      </c>
      <c r="F26" s="7" t="s">
        <v>19</v>
      </c>
      <c r="G26" s="10" t="s">
        <v>178</v>
      </c>
      <c r="H26" s="7"/>
      <c r="I26" s="7">
        <v>5.0</v>
      </c>
      <c r="J26" s="8">
        <v>45977.0</v>
      </c>
      <c r="K26" s="7" t="s">
        <v>22</v>
      </c>
      <c r="L26" s="7" t="s">
        <v>23</v>
      </c>
      <c r="M26" s="7" t="s">
        <v>179</v>
      </c>
      <c r="N26" s="7" t="s">
        <v>138</v>
      </c>
      <c r="O26" s="7" t="s">
        <v>180</v>
      </c>
      <c r="P26" s="1"/>
      <c r="Q26" s="1"/>
      <c r="R26" s="1"/>
      <c r="S26" s="1"/>
      <c r="T26" s="1"/>
      <c r="U26" s="1"/>
      <c r="V26" s="1"/>
      <c r="W26" s="1"/>
      <c r="X26" s="1"/>
      <c r="Y26" s="1"/>
      <c r="Z26" s="1"/>
    </row>
    <row r="27" ht="19.5" customHeight="1">
      <c r="A27" s="1"/>
      <c r="B27" s="13"/>
      <c r="C27" s="14"/>
      <c r="D27" s="15"/>
      <c r="E27" s="14"/>
      <c r="F27" s="14"/>
      <c r="G27" s="15"/>
      <c r="H27" s="14"/>
      <c r="I27" s="14"/>
      <c r="J27" s="16"/>
      <c r="K27" s="14"/>
      <c r="L27" s="14"/>
      <c r="M27" s="17"/>
      <c r="N27" s="14"/>
      <c r="O27" s="14"/>
      <c r="P27" s="1"/>
      <c r="Q27" s="1"/>
      <c r="R27" s="1"/>
      <c r="S27" s="1"/>
      <c r="T27" s="1"/>
      <c r="U27" s="1"/>
      <c r="V27" s="1"/>
      <c r="W27" s="1"/>
      <c r="X27" s="1"/>
      <c r="Y27" s="1"/>
      <c r="Z27" s="1"/>
    </row>
    <row r="28" ht="19.5" customHeight="1">
      <c r="A28" s="1"/>
      <c r="B28" s="13"/>
      <c r="C28" s="14"/>
      <c r="D28" s="15"/>
      <c r="E28" s="14"/>
      <c r="F28" s="14"/>
      <c r="G28" s="15"/>
      <c r="H28" s="14"/>
      <c r="I28" s="14"/>
      <c r="J28" s="16"/>
      <c r="K28" s="14"/>
      <c r="L28" s="14"/>
      <c r="M28" s="17"/>
      <c r="N28" s="14"/>
      <c r="O28" s="14"/>
      <c r="P28" s="1"/>
      <c r="Q28" s="1"/>
      <c r="R28" s="1"/>
      <c r="S28" s="1"/>
      <c r="T28" s="1"/>
      <c r="U28" s="1"/>
      <c r="V28" s="1"/>
      <c r="W28" s="1"/>
      <c r="X28" s="1"/>
      <c r="Y28" s="1"/>
      <c r="Z28" s="1"/>
    </row>
    <row r="29" ht="19.5" customHeight="1">
      <c r="A29" s="1"/>
      <c r="B29" s="13"/>
      <c r="C29" s="14"/>
      <c r="D29" s="15"/>
      <c r="E29" s="14"/>
      <c r="F29" s="14"/>
      <c r="G29" s="15"/>
      <c r="H29" s="14"/>
      <c r="I29" s="14"/>
      <c r="J29" s="16"/>
      <c r="K29" s="14"/>
      <c r="L29" s="14"/>
      <c r="M29" s="17"/>
      <c r="N29" s="14"/>
      <c r="O29" s="14"/>
      <c r="P29" s="1"/>
      <c r="Q29" s="1"/>
      <c r="R29" s="1"/>
      <c r="S29" s="1"/>
      <c r="T29" s="1"/>
      <c r="U29" s="1"/>
      <c r="V29" s="1"/>
      <c r="W29" s="1"/>
      <c r="X29" s="1"/>
      <c r="Y29" s="1"/>
      <c r="Z29" s="1"/>
    </row>
    <row r="30" ht="15.75" customHeight="1">
      <c r="A30" s="1"/>
      <c r="B30" s="13"/>
      <c r="C30" s="14"/>
      <c r="D30" s="15"/>
      <c r="E30" s="14"/>
      <c r="F30" s="14"/>
      <c r="G30" s="15"/>
      <c r="H30" s="14"/>
      <c r="I30" s="14"/>
      <c r="J30" s="16"/>
      <c r="K30" s="14"/>
      <c r="L30" s="14"/>
      <c r="M30" s="17"/>
      <c r="N30" s="14"/>
      <c r="O30" s="14"/>
      <c r="P30" s="1"/>
      <c r="Q30" s="1"/>
      <c r="R30" s="1"/>
      <c r="S30" s="1"/>
      <c r="T30" s="1"/>
      <c r="U30" s="1"/>
      <c r="V30" s="1"/>
      <c r="W30" s="1"/>
      <c r="X30" s="1"/>
      <c r="Y30" s="1"/>
      <c r="Z30" s="1"/>
    </row>
    <row r="31" ht="15.75" customHeight="1">
      <c r="A31" s="1"/>
      <c r="B31" s="13"/>
      <c r="C31" s="14"/>
      <c r="D31" s="15"/>
      <c r="E31" s="14"/>
      <c r="F31" s="14"/>
      <c r="G31" s="15"/>
      <c r="H31" s="14"/>
      <c r="I31" s="14"/>
      <c r="J31" s="16"/>
      <c r="K31" s="14"/>
      <c r="L31" s="14"/>
      <c r="M31" s="17"/>
      <c r="N31" s="14"/>
      <c r="O31" s="14"/>
      <c r="P31" s="1"/>
      <c r="Q31" s="1"/>
      <c r="R31" s="1"/>
      <c r="S31" s="1"/>
      <c r="T31" s="1"/>
      <c r="U31" s="1"/>
      <c r="V31" s="1"/>
      <c r="W31" s="1"/>
      <c r="X31" s="1"/>
      <c r="Y31" s="1"/>
      <c r="Z31" s="1"/>
    </row>
    <row r="32" ht="15.75" customHeight="1">
      <c r="A32" s="1"/>
      <c r="B32" s="13"/>
      <c r="C32" s="14"/>
      <c r="D32" s="15"/>
      <c r="E32" s="14"/>
      <c r="F32" s="14"/>
      <c r="G32" s="15"/>
      <c r="H32" s="14"/>
      <c r="I32" s="14"/>
      <c r="J32" s="16"/>
      <c r="K32" s="14"/>
      <c r="L32" s="14"/>
      <c r="M32" s="17"/>
      <c r="N32" s="14"/>
      <c r="O32" s="14"/>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sheetData>
  <mergeCells count="1">
    <mergeCell ref="B3:O3"/>
  </mergeCells>
  <conditionalFormatting sqref="L6 L8:L26">
    <cfRule type="colorScale" priority="1">
      <colorScale>
        <cfvo type="min"/>
        <cfvo type="max"/>
        <color rgb="FF57BB8A"/>
        <color rgb="FFFFFFFF"/>
      </colorScale>
    </cfRule>
  </conditionalFormatting>
  <conditionalFormatting sqref="L8 L10:L18">
    <cfRule type="colorScale" priority="2">
      <colorScale>
        <cfvo type="min"/>
        <cfvo type="max"/>
        <color rgb="FF57BB8A"/>
        <color rgb="FFFFFFFF"/>
      </colorScale>
    </cfRule>
  </conditionalFormatting>
  <conditionalFormatting sqref="L7">
    <cfRule type="colorScale" priority="3">
      <colorScale>
        <cfvo type="min"/>
        <cfvo type="max"/>
        <color rgb="FF57BB8A"/>
        <color rgb="FFFFFFFF"/>
      </colorScale>
    </cfRule>
  </conditionalFormatting>
  <dataValidations>
    <dataValidation type="list" allowBlank="1" showErrorMessage="1" sqref="L6:L32">
      <formula1>$L$25:$L$27</formula1>
    </dataValidation>
    <dataValidation type="list" allowBlank="1" showErrorMessage="1" sqref="K6:K32">
      <formula1>$K$25:$K$26</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1">
      <c r="A1" s="19"/>
      <c r="B1" s="19"/>
      <c r="C1" s="19"/>
      <c r="D1" s="19"/>
      <c r="E1" s="19"/>
      <c r="F1" s="19"/>
      <c r="G1" s="19"/>
      <c r="H1" s="19"/>
      <c r="I1" s="19"/>
      <c r="J1" s="19"/>
      <c r="K1" s="19"/>
      <c r="L1" s="19"/>
      <c r="M1" s="19"/>
      <c r="N1" s="19"/>
      <c r="O1" s="19"/>
      <c r="P1" s="19"/>
      <c r="Q1" s="19"/>
      <c r="R1" s="19"/>
      <c r="S1" s="19"/>
      <c r="T1" s="19"/>
      <c r="U1" s="19"/>
      <c r="V1" s="19"/>
      <c r="W1" s="19"/>
      <c r="X1" s="19"/>
      <c r="Y1" s="19"/>
      <c r="Z1" s="19"/>
    </row>
    <row r="2" ht="15.0" hidden="1" customHeight="1">
      <c r="A2" s="19"/>
      <c r="B2" s="19"/>
      <c r="C2" s="19"/>
      <c r="D2" s="19"/>
      <c r="E2" s="19"/>
      <c r="F2" s="19"/>
      <c r="G2" s="19"/>
      <c r="H2" s="19"/>
      <c r="I2" s="19"/>
      <c r="J2" s="19"/>
      <c r="K2" s="19"/>
      <c r="L2" s="19"/>
      <c r="M2" s="19"/>
      <c r="N2" s="19"/>
      <c r="O2" s="19"/>
      <c r="P2" s="19"/>
      <c r="Q2" s="19"/>
      <c r="R2" s="19"/>
      <c r="S2" s="19"/>
      <c r="T2" s="19"/>
      <c r="U2" s="19"/>
      <c r="V2" s="19"/>
      <c r="W2" s="19"/>
      <c r="X2" s="19"/>
      <c r="Y2" s="19"/>
      <c r="Z2" s="19"/>
    </row>
    <row r="3" ht="15.0" hidden="1" customHeight="1">
      <c r="A3" s="19"/>
      <c r="B3" s="19"/>
      <c r="C3" s="19"/>
      <c r="D3" s="19"/>
      <c r="E3" s="19"/>
      <c r="F3" s="19"/>
      <c r="G3" s="19"/>
      <c r="H3" s="19"/>
      <c r="I3" s="19"/>
      <c r="J3" s="19"/>
      <c r="K3" s="19"/>
      <c r="L3" s="19"/>
      <c r="M3" s="19"/>
      <c r="N3" s="19"/>
      <c r="O3" s="19"/>
      <c r="P3" s="19"/>
      <c r="Q3" s="19"/>
      <c r="R3" s="19"/>
      <c r="S3" s="19"/>
      <c r="T3" s="19"/>
      <c r="U3" s="19"/>
      <c r="V3" s="19"/>
      <c r="W3" s="19"/>
      <c r="X3" s="19"/>
      <c r="Y3" s="19"/>
      <c r="Z3" s="19"/>
    </row>
    <row r="4" hidden="1">
      <c r="A4" s="19"/>
      <c r="B4" s="19"/>
      <c r="C4" s="20"/>
      <c r="D4" s="20"/>
      <c r="E4" s="20"/>
      <c r="F4" s="21"/>
      <c r="G4" s="19"/>
      <c r="H4" s="19"/>
      <c r="I4" s="19"/>
      <c r="J4" s="19"/>
      <c r="K4" s="19"/>
      <c r="L4" s="19"/>
      <c r="M4" s="19"/>
      <c r="N4" s="19"/>
      <c r="O4" s="19"/>
      <c r="P4" s="19"/>
      <c r="Q4" s="19"/>
      <c r="R4" s="19"/>
      <c r="S4" s="19"/>
      <c r="T4" s="19"/>
      <c r="U4" s="19"/>
      <c r="V4" s="19"/>
      <c r="W4" s="19"/>
      <c r="X4" s="19"/>
      <c r="Y4" s="19"/>
      <c r="Z4" s="19"/>
    </row>
    <row r="5" hidden="1">
      <c r="A5" s="19"/>
      <c r="B5" s="19"/>
      <c r="C5" s="20"/>
      <c r="D5" s="20"/>
      <c r="E5" s="20"/>
      <c r="F5" s="21"/>
      <c r="G5" s="19"/>
      <c r="H5" s="19"/>
      <c r="I5" s="19"/>
      <c r="J5" s="19"/>
      <c r="K5" s="19"/>
      <c r="L5" s="19"/>
      <c r="M5" s="19"/>
      <c r="N5" s="19"/>
      <c r="O5" s="19"/>
      <c r="P5" s="19"/>
      <c r="Q5" s="19"/>
      <c r="R5" s="19"/>
      <c r="S5" s="19"/>
      <c r="T5" s="19"/>
      <c r="U5" s="19"/>
      <c r="V5" s="19"/>
      <c r="W5" s="19"/>
      <c r="X5" s="19"/>
      <c r="Y5" s="19"/>
      <c r="Z5" s="19"/>
    </row>
    <row r="6" ht="39.75" customHeight="1">
      <c r="A6" s="19"/>
      <c r="B6" s="22" t="s">
        <v>181</v>
      </c>
      <c r="C6" s="3"/>
      <c r="D6" s="3"/>
      <c r="E6" s="3"/>
      <c r="F6" s="3"/>
      <c r="G6" s="3"/>
      <c r="H6" s="3"/>
      <c r="I6" s="3"/>
      <c r="J6" s="3"/>
      <c r="K6" s="3"/>
      <c r="L6" s="3"/>
      <c r="M6" s="3"/>
      <c r="N6" s="3"/>
      <c r="O6" s="3"/>
      <c r="P6" s="4"/>
      <c r="Q6" s="19"/>
      <c r="R6" s="19"/>
      <c r="S6" s="19"/>
      <c r="T6" s="19"/>
      <c r="U6" s="19"/>
      <c r="V6" s="19"/>
      <c r="W6" s="19"/>
      <c r="X6" s="19"/>
      <c r="Y6" s="19"/>
      <c r="Z6" s="19"/>
    </row>
    <row r="7" ht="9.75" customHeight="1">
      <c r="A7" s="23"/>
      <c r="B7" s="23"/>
      <c r="C7" s="24"/>
      <c r="D7" s="24"/>
      <c r="E7" s="24"/>
      <c r="F7" s="24"/>
      <c r="G7" s="24"/>
      <c r="H7" s="24"/>
      <c r="I7" s="24"/>
      <c r="J7" s="24"/>
      <c r="K7" s="24"/>
      <c r="L7" s="24"/>
      <c r="M7" s="24"/>
      <c r="N7" s="24"/>
      <c r="O7" s="24"/>
      <c r="P7" s="23"/>
      <c r="Q7" s="23"/>
      <c r="R7" s="23"/>
      <c r="S7" s="23"/>
      <c r="T7" s="23"/>
      <c r="U7" s="23"/>
      <c r="V7" s="23"/>
      <c r="W7" s="23"/>
      <c r="X7" s="23"/>
      <c r="Y7" s="23"/>
      <c r="Z7" s="23"/>
    </row>
    <row r="8" ht="9.75" customHeight="1">
      <c r="A8" s="19"/>
      <c r="B8" s="25"/>
      <c r="C8" s="26"/>
      <c r="D8" s="26"/>
      <c r="E8" s="26"/>
      <c r="F8" s="27"/>
      <c r="G8" s="28"/>
      <c r="H8" s="28"/>
      <c r="I8" s="28"/>
      <c r="J8" s="28"/>
      <c r="K8" s="28"/>
      <c r="L8" s="28"/>
      <c r="M8" s="28"/>
      <c r="N8" s="28"/>
      <c r="O8" s="28"/>
      <c r="P8" s="29"/>
      <c r="Q8" s="23"/>
      <c r="R8" s="19"/>
      <c r="S8" s="19"/>
      <c r="T8" s="19"/>
      <c r="U8" s="19"/>
      <c r="V8" s="19"/>
      <c r="W8" s="19"/>
      <c r="X8" s="19"/>
      <c r="Y8" s="19"/>
      <c r="Z8" s="19"/>
    </row>
    <row r="9" ht="30.0" customHeight="1">
      <c r="A9" s="19"/>
      <c r="B9" s="30"/>
      <c r="C9" s="31" t="s">
        <v>1</v>
      </c>
      <c r="D9" s="32"/>
      <c r="E9" s="33" t="s">
        <v>182</v>
      </c>
      <c r="F9" s="4"/>
      <c r="G9" s="32"/>
      <c r="H9" s="33" t="s">
        <v>11</v>
      </c>
      <c r="I9" s="4"/>
      <c r="J9" s="34"/>
      <c r="K9" s="34"/>
      <c r="L9" s="34"/>
      <c r="M9" s="34"/>
      <c r="N9" s="34"/>
      <c r="O9" s="34"/>
      <c r="P9" s="35"/>
      <c r="Q9" s="23"/>
      <c r="R9" s="19"/>
      <c r="S9" s="19"/>
      <c r="T9" s="19"/>
      <c r="U9" s="19"/>
      <c r="V9" s="19"/>
      <c r="W9" s="19"/>
      <c r="X9" s="19"/>
      <c r="Y9" s="19"/>
      <c r="Z9" s="19"/>
    </row>
    <row r="10" ht="30.0" customHeight="1">
      <c r="A10" s="19"/>
      <c r="B10" s="30"/>
      <c r="C10" s="36" t="s">
        <v>72</v>
      </c>
      <c r="D10" s="37"/>
      <c r="E10" s="38" t="str">
        <f>VLOOKUP(C10,'Formato descripción HU'!B6:O23,5,0)</f>
        <v>Propietario</v>
      </c>
      <c r="F10" s="4"/>
      <c r="G10" s="37"/>
      <c r="H10" s="38" t="str">
        <f>VLOOKUP(C10,'Formato descripción HU'!B6:O23,11,0)</f>
        <v>Pendiente</v>
      </c>
      <c r="I10" s="4"/>
      <c r="J10" s="37"/>
      <c r="K10" s="34"/>
      <c r="L10" s="34"/>
      <c r="M10" s="34"/>
      <c r="N10" s="34"/>
      <c r="O10" s="34"/>
      <c r="P10" s="35"/>
      <c r="Q10" s="23"/>
      <c r="R10" s="19"/>
      <c r="S10" s="19"/>
      <c r="T10" s="19"/>
      <c r="U10" s="19"/>
      <c r="V10" s="19"/>
      <c r="W10" s="19"/>
      <c r="X10" s="19"/>
      <c r="Y10" s="19"/>
      <c r="Z10" s="19"/>
    </row>
    <row r="11" ht="9.75" customHeight="1">
      <c r="A11" s="23"/>
      <c r="B11" s="30"/>
      <c r="C11" s="39"/>
      <c r="D11" s="37"/>
      <c r="E11" s="40"/>
      <c r="F11" s="40"/>
      <c r="G11" s="37"/>
      <c r="H11" s="40"/>
      <c r="I11" s="40"/>
      <c r="J11" s="37"/>
      <c r="K11" s="40"/>
      <c r="L11" s="40"/>
      <c r="M11" s="34"/>
      <c r="N11" s="40"/>
      <c r="O11" s="40"/>
      <c r="P11" s="35"/>
      <c r="Q11" s="23"/>
      <c r="R11" s="23"/>
      <c r="S11" s="23"/>
      <c r="T11" s="23"/>
      <c r="U11" s="23"/>
      <c r="V11" s="23"/>
      <c r="W11" s="23"/>
      <c r="X11" s="23"/>
      <c r="Y11" s="23"/>
      <c r="Z11" s="23"/>
    </row>
    <row r="12" ht="30.0" customHeight="1">
      <c r="A12" s="23"/>
      <c r="B12" s="30"/>
      <c r="C12" s="31" t="s">
        <v>183</v>
      </c>
      <c r="D12" s="37"/>
      <c r="E12" s="33" t="s">
        <v>10</v>
      </c>
      <c r="F12" s="4"/>
      <c r="G12" s="37"/>
      <c r="H12" s="33" t="s">
        <v>184</v>
      </c>
      <c r="I12" s="4"/>
      <c r="J12" s="37"/>
      <c r="K12" s="40"/>
      <c r="L12" s="40"/>
      <c r="M12" s="34"/>
      <c r="N12" s="40"/>
      <c r="O12" s="40"/>
      <c r="P12" s="35"/>
      <c r="Q12" s="23"/>
      <c r="R12" s="23"/>
      <c r="S12" s="23"/>
      <c r="T12" s="23"/>
      <c r="U12" s="23"/>
      <c r="V12" s="23"/>
      <c r="W12" s="23"/>
      <c r="X12" s="23"/>
      <c r="Y12" s="23"/>
      <c r="Z12" s="23"/>
    </row>
    <row r="13" ht="30.0" customHeight="1">
      <c r="A13" s="23"/>
      <c r="B13" s="30"/>
      <c r="C13" s="41">
        <f>VLOOKUP('Historia de Usuario'!C10,'Formato descripción HU'!B6:O23,8,0)</f>
        <v>8</v>
      </c>
      <c r="D13" s="37"/>
      <c r="E13" s="38" t="str">
        <f>VLOOKUP(C10,'Formato descripción HU'!B6:O23,10,0)</f>
        <v>Alta/Esencial</v>
      </c>
      <c r="F13" s="4"/>
      <c r="G13" s="37"/>
      <c r="H13" s="38" t="str">
        <f>VLOOKUP(C10,'Formato descripción HU'!B6:O23,7,0)</f>
        <v>Matias Lugmaña</v>
      </c>
      <c r="I13" s="4"/>
      <c r="J13" s="37"/>
      <c r="K13" s="40"/>
      <c r="L13" s="40"/>
      <c r="M13" s="34"/>
      <c r="N13" s="40"/>
      <c r="O13" s="40"/>
      <c r="P13" s="35"/>
      <c r="Q13" s="23"/>
      <c r="R13" s="23"/>
      <c r="S13" s="23"/>
      <c r="T13" s="23"/>
      <c r="U13" s="23"/>
      <c r="V13" s="23"/>
      <c r="W13" s="23"/>
      <c r="X13" s="23"/>
      <c r="Y13" s="23"/>
      <c r="Z13" s="23"/>
    </row>
    <row r="14" ht="9.75" customHeight="1">
      <c r="A14" s="23"/>
      <c r="B14" s="30"/>
      <c r="C14" s="34"/>
      <c r="D14" s="37"/>
      <c r="E14" s="34"/>
      <c r="F14" s="34"/>
      <c r="G14" s="37"/>
      <c r="H14" s="37"/>
      <c r="I14" s="34"/>
      <c r="J14" s="34"/>
      <c r="K14" s="34"/>
      <c r="L14" s="34"/>
      <c r="M14" s="34"/>
      <c r="N14" s="34"/>
      <c r="O14" s="34"/>
      <c r="P14" s="35"/>
      <c r="Q14" s="23"/>
      <c r="R14" s="23"/>
      <c r="S14" s="23"/>
      <c r="T14" s="23"/>
      <c r="U14" s="23"/>
      <c r="V14" s="23"/>
      <c r="W14" s="23"/>
      <c r="X14" s="23"/>
      <c r="Y14" s="23"/>
      <c r="Z14" s="23"/>
    </row>
    <row r="15" ht="19.5" customHeight="1">
      <c r="A15" s="23"/>
      <c r="B15" s="30"/>
      <c r="C15" s="42" t="s">
        <v>185</v>
      </c>
      <c r="D15" s="43" t="str">
        <f>VLOOKUP(C10,'Formato descripción HU'!B6:O23,3,0)</f>
        <v>Desactivar lógicamente un cliente del sistema.</v>
      </c>
      <c r="E15" s="44"/>
      <c r="F15" s="45"/>
      <c r="G15" s="42" t="s">
        <v>186</v>
      </c>
      <c r="H15" s="43" t="str">
        <f>VLOOKUP(C10,'Formato descripción HU'!B6:O23,4,0)</f>
        <v>Que el cliente sea marcado como 'Inactivo' y excluido de futuras selecciones, conservando su historial</v>
      </c>
      <c r="I15" s="46"/>
      <c r="J15" s="44"/>
      <c r="K15" s="45"/>
      <c r="L15" s="42" t="s">
        <v>187</v>
      </c>
      <c r="M15" s="47" t="str">
        <f>VLOOKUP(C10,'Formato descripción HU'!B6:O23,6,0)</f>
        <v>Acceder a la lista de clientes, seleccionar "Eliminar", confirmar la acción, cambiar el estado del cliente en la DB de 'Activo' a 'Inactivo', actualizar la lista de clientes registrados</v>
      </c>
      <c r="N15" s="46"/>
      <c r="O15" s="44"/>
      <c r="P15" s="35"/>
      <c r="Q15" s="23"/>
      <c r="R15" s="23"/>
      <c r="S15" s="23"/>
      <c r="T15" s="23"/>
      <c r="U15" s="23"/>
      <c r="V15" s="23"/>
      <c r="W15" s="23"/>
      <c r="X15" s="23"/>
      <c r="Y15" s="23"/>
      <c r="Z15" s="23"/>
    </row>
    <row r="16" ht="19.5" customHeight="1">
      <c r="A16" s="23"/>
      <c r="B16" s="30"/>
      <c r="C16" s="48"/>
      <c r="D16" s="49"/>
      <c r="E16" s="50"/>
      <c r="F16" s="45"/>
      <c r="G16" s="48"/>
      <c r="H16" s="49"/>
      <c r="J16" s="50"/>
      <c r="K16" s="45"/>
      <c r="L16" s="48"/>
      <c r="M16" s="49"/>
      <c r="O16" s="50"/>
      <c r="P16" s="35"/>
      <c r="Q16" s="23"/>
      <c r="R16" s="23"/>
      <c r="S16" s="23"/>
      <c r="T16" s="23"/>
      <c r="U16" s="23"/>
      <c r="V16" s="23"/>
      <c r="W16" s="23"/>
      <c r="X16" s="23"/>
      <c r="Y16" s="23"/>
      <c r="Z16" s="23"/>
    </row>
    <row r="17" ht="72.0" customHeight="1">
      <c r="A17" s="23"/>
      <c r="B17" s="30"/>
      <c r="C17" s="51"/>
      <c r="D17" s="52"/>
      <c r="E17" s="53"/>
      <c r="F17" s="45"/>
      <c r="G17" s="51"/>
      <c r="H17" s="52"/>
      <c r="I17" s="54"/>
      <c r="J17" s="53"/>
      <c r="K17" s="45"/>
      <c r="L17" s="51"/>
      <c r="M17" s="52"/>
      <c r="N17" s="54"/>
      <c r="O17" s="53"/>
      <c r="P17" s="35"/>
      <c r="Q17" s="23"/>
      <c r="R17" s="23"/>
      <c r="S17" s="23"/>
      <c r="T17" s="23"/>
      <c r="U17" s="23"/>
      <c r="V17" s="23"/>
      <c r="W17" s="23"/>
      <c r="X17" s="23"/>
      <c r="Y17" s="23"/>
      <c r="Z17" s="23"/>
    </row>
    <row r="18" ht="9.75" customHeight="1">
      <c r="A18" s="23"/>
      <c r="B18" s="30"/>
      <c r="C18" s="34"/>
      <c r="D18" s="34"/>
      <c r="E18" s="34"/>
      <c r="F18" s="34"/>
      <c r="G18" s="37"/>
      <c r="H18" s="37"/>
      <c r="I18" s="37"/>
      <c r="J18" s="34"/>
      <c r="K18" s="34"/>
      <c r="L18" s="34"/>
      <c r="M18" s="34"/>
      <c r="N18" s="34"/>
      <c r="O18" s="34"/>
      <c r="P18" s="35"/>
      <c r="Q18" s="23"/>
      <c r="R18" s="23"/>
      <c r="S18" s="23"/>
      <c r="T18" s="23"/>
      <c r="U18" s="23"/>
      <c r="V18" s="23"/>
      <c r="W18" s="23"/>
      <c r="X18" s="23"/>
      <c r="Y18" s="23"/>
      <c r="Z18" s="23"/>
    </row>
    <row r="19" ht="19.5" customHeight="1">
      <c r="A19" s="19"/>
      <c r="B19" s="30"/>
      <c r="C19" s="55" t="s">
        <v>188</v>
      </c>
      <c r="D19" s="44"/>
      <c r="E19" s="56" t="str">
        <f>VLOOKUP(C10,'Formato descripción HU'!B6:O23,14,0)</f>
        <v>Eliminar Cliente</v>
      </c>
      <c r="F19" s="57"/>
      <c r="G19" s="57"/>
      <c r="H19" s="57"/>
      <c r="I19" s="57"/>
      <c r="J19" s="57"/>
      <c r="K19" s="57"/>
      <c r="L19" s="57"/>
      <c r="M19" s="57"/>
      <c r="N19" s="57"/>
      <c r="O19" s="58"/>
      <c r="P19" s="35"/>
      <c r="Q19" s="23"/>
      <c r="R19" s="19"/>
      <c r="S19" s="19"/>
      <c r="T19" s="19"/>
      <c r="U19" s="19"/>
      <c r="V19" s="19"/>
      <c r="W19" s="19"/>
      <c r="X19" s="19"/>
      <c r="Y19" s="19"/>
      <c r="Z19" s="19"/>
    </row>
    <row r="20" ht="19.5" customHeight="1">
      <c r="A20" s="19"/>
      <c r="B20" s="30"/>
      <c r="C20" s="52"/>
      <c r="D20" s="53"/>
      <c r="E20" s="59"/>
      <c r="F20" s="60"/>
      <c r="G20" s="60"/>
      <c r="H20" s="60"/>
      <c r="I20" s="60"/>
      <c r="J20" s="60"/>
      <c r="K20" s="60"/>
      <c r="L20" s="60"/>
      <c r="M20" s="60"/>
      <c r="N20" s="60"/>
      <c r="O20" s="61"/>
      <c r="P20" s="35"/>
      <c r="Q20" s="23"/>
      <c r="R20" s="19"/>
      <c r="S20" s="19"/>
      <c r="T20" s="19"/>
      <c r="U20" s="19"/>
      <c r="V20" s="19"/>
      <c r="W20" s="19"/>
      <c r="X20" s="19"/>
      <c r="Y20" s="19"/>
      <c r="Z20" s="19"/>
    </row>
    <row r="21" ht="9.75" customHeight="1">
      <c r="A21" s="19"/>
      <c r="B21" s="30"/>
      <c r="C21" s="34"/>
      <c r="D21" s="34"/>
      <c r="E21" s="34"/>
      <c r="F21" s="34"/>
      <c r="G21" s="34"/>
      <c r="H21" s="34"/>
      <c r="I21" s="34"/>
      <c r="J21" s="34"/>
      <c r="K21" s="34"/>
      <c r="L21" s="34"/>
      <c r="M21" s="34"/>
      <c r="N21" s="34"/>
      <c r="O21" s="34"/>
      <c r="P21" s="35"/>
      <c r="Q21" s="23"/>
      <c r="R21" s="19"/>
      <c r="S21" s="19"/>
      <c r="T21" s="19"/>
      <c r="U21" s="19"/>
      <c r="V21" s="19"/>
      <c r="W21" s="19"/>
      <c r="X21" s="19"/>
      <c r="Y21" s="19"/>
      <c r="Z21" s="19"/>
    </row>
    <row r="22" ht="19.5" customHeight="1">
      <c r="A22" s="23"/>
      <c r="B22" s="30"/>
      <c r="C22" s="62" t="s">
        <v>189</v>
      </c>
      <c r="D22" s="44"/>
      <c r="E22" s="63" t="str">
        <f>VLOOKUP(C10,'Formato descripción HU'!B6:O23,12,0)</f>
        <v>Se verifica que el cliente desaparece de la lista activa, su estado en la base de datos es 'Inactivo' y que ya no puede ser seleccionado para un nuevo pedido.</v>
      </c>
      <c r="F22" s="46"/>
      <c r="G22" s="46"/>
      <c r="H22" s="44"/>
      <c r="I22" s="34"/>
      <c r="J22" s="62" t="s">
        <v>13</v>
      </c>
      <c r="K22" s="44"/>
      <c r="L22" s="43" t="str">
        <f>VLOOKUP(C10,'Formato descripción HU'!B6:O23,13,0)</f>
        <v>La eliminación es lógica de desactivación;</v>
      </c>
      <c r="M22" s="46"/>
      <c r="N22" s="46"/>
      <c r="O22" s="44"/>
      <c r="P22" s="35"/>
      <c r="Q22" s="23"/>
      <c r="R22" s="23"/>
      <c r="S22" s="23"/>
      <c r="T22" s="23"/>
      <c r="U22" s="23"/>
      <c r="V22" s="23"/>
      <c r="W22" s="23"/>
      <c r="X22" s="23"/>
      <c r="Y22" s="23"/>
      <c r="Z22" s="23"/>
    </row>
    <row r="23" ht="19.5" customHeight="1">
      <c r="A23" s="23"/>
      <c r="B23" s="30"/>
      <c r="C23" s="49"/>
      <c r="D23" s="50"/>
      <c r="E23" s="49"/>
      <c r="H23" s="50"/>
      <c r="I23" s="34"/>
      <c r="J23" s="49"/>
      <c r="K23" s="50"/>
      <c r="L23" s="49"/>
      <c r="O23" s="50"/>
      <c r="P23" s="35"/>
      <c r="Q23" s="23"/>
      <c r="R23" s="23"/>
      <c r="S23" s="23"/>
      <c r="T23" s="23"/>
      <c r="U23" s="23"/>
      <c r="V23" s="23"/>
      <c r="W23" s="23"/>
      <c r="X23" s="23"/>
      <c r="Y23" s="23"/>
      <c r="Z23" s="23"/>
    </row>
    <row r="24" ht="68.25" customHeight="1">
      <c r="A24" s="23"/>
      <c r="B24" s="30"/>
      <c r="C24" s="52"/>
      <c r="D24" s="53"/>
      <c r="E24" s="52"/>
      <c r="F24" s="54"/>
      <c r="G24" s="54"/>
      <c r="H24" s="53"/>
      <c r="I24" s="34"/>
      <c r="J24" s="52"/>
      <c r="K24" s="53"/>
      <c r="L24" s="52"/>
      <c r="M24" s="54"/>
      <c r="N24" s="54"/>
      <c r="O24" s="53"/>
      <c r="P24" s="35"/>
      <c r="Q24" s="23"/>
      <c r="R24" s="23"/>
      <c r="S24" s="23"/>
      <c r="T24" s="23"/>
      <c r="U24" s="23"/>
      <c r="V24" s="23"/>
      <c r="W24" s="23"/>
      <c r="X24" s="23"/>
      <c r="Y24" s="23"/>
      <c r="Z24" s="23"/>
    </row>
    <row r="25" ht="9.75" customHeight="1">
      <c r="A25" s="23"/>
      <c r="B25" s="64"/>
      <c r="C25" s="65"/>
      <c r="D25" s="65"/>
      <c r="E25" s="65"/>
      <c r="F25" s="65"/>
      <c r="G25" s="65"/>
      <c r="H25" s="65"/>
      <c r="I25" s="65"/>
      <c r="J25" s="65"/>
      <c r="K25" s="65"/>
      <c r="L25" s="65"/>
      <c r="M25" s="65"/>
      <c r="N25" s="65"/>
      <c r="O25" s="65"/>
      <c r="P25" s="66"/>
      <c r="Q25" s="23"/>
      <c r="R25" s="23"/>
      <c r="S25" s="23"/>
      <c r="T25" s="23"/>
      <c r="U25" s="23"/>
      <c r="V25" s="23"/>
      <c r="W25" s="23"/>
      <c r="X25" s="23"/>
      <c r="Y25" s="23"/>
      <c r="Z25" s="23"/>
    </row>
    <row r="26" ht="19.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ht="19.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19.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19.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19.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9.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9.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9.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9.5" customHeight="1">
      <c r="A34" s="19"/>
      <c r="B34" s="19"/>
      <c r="C34" s="23"/>
      <c r="D34" s="23"/>
      <c r="E34" s="23"/>
      <c r="F34" s="23"/>
      <c r="G34" s="23"/>
      <c r="H34" s="23"/>
      <c r="I34" s="23"/>
      <c r="J34" s="23"/>
      <c r="K34" s="23"/>
      <c r="L34" s="23"/>
      <c r="M34" s="23"/>
      <c r="N34" s="23"/>
      <c r="O34" s="23"/>
      <c r="P34" s="23"/>
      <c r="Q34" s="19"/>
      <c r="R34" s="19"/>
      <c r="S34" s="19"/>
      <c r="T34" s="19"/>
      <c r="U34" s="19"/>
      <c r="V34" s="19"/>
      <c r="W34" s="19"/>
      <c r="X34" s="19"/>
      <c r="Y34" s="19"/>
      <c r="Z34" s="19"/>
    </row>
    <row r="35" ht="19.5" customHeight="1">
      <c r="A35" s="19"/>
      <c r="B35" s="19"/>
      <c r="C35" s="23"/>
      <c r="D35" s="23"/>
      <c r="E35" s="23"/>
      <c r="F35" s="23"/>
      <c r="G35" s="23"/>
      <c r="H35" s="23"/>
      <c r="I35" s="23"/>
      <c r="J35" s="23"/>
      <c r="K35" s="23"/>
      <c r="L35" s="23"/>
      <c r="M35" s="23"/>
      <c r="N35" s="23"/>
      <c r="O35" s="23"/>
      <c r="P35" s="23"/>
      <c r="Q35" s="19"/>
      <c r="R35" s="19"/>
      <c r="S35" s="19"/>
      <c r="T35" s="19"/>
      <c r="U35" s="19"/>
      <c r="V35" s="19"/>
      <c r="W35" s="19"/>
      <c r="X35" s="19"/>
      <c r="Y35" s="19"/>
      <c r="Z35" s="19"/>
    </row>
    <row r="36" ht="19.5" customHeight="1">
      <c r="A36" s="19"/>
      <c r="B36" s="19"/>
      <c r="C36" s="23"/>
      <c r="D36" s="23"/>
      <c r="E36" s="23"/>
      <c r="F36" s="23"/>
      <c r="G36" s="23"/>
      <c r="H36" s="23"/>
      <c r="I36" s="23"/>
      <c r="J36" s="23"/>
      <c r="K36" s="23"/>
      <c r="L36" s="23"/>
      <c r="M36" s="23"/>
      <c r="N36" s="23"/>
      <c r="O36" s="23"/>
      <c r="P36" s="23"/>
      <c r="Q36" s="19"/>
      <c r="R36" s="19"/>
      <c r="S36" s="19"/>
      <c r="T36" s="19"/>
      <c r="U36" s="19"/>
      <c r="V36" s="19"/>
      <c r="W36" s="19"/>
      <c r="X36" s="19"/>
      <c r="Y36" s="19"/>
      <c r="Z36" s="19"/>
    </row>
    <row r="37" ht="19.5" customHeight="1">
      <c r="A37" s="19"/>
      <c r="B37" s="19"/>
      <c r="C37" s="23"/>
      <c r="D37" s="23"/>
      <c r="E37" s="23"/>
      <c r="F37" s="23"/>
      <c r="G37" s="23"/>
      <c r="H37" s="23"/>
      <c r="I37" s="23"/>
      <c r="J37" s="23"/>
      <c r="K37" s="23"/>
      <c r="L37" s="23"/>
      <c r="M37" s="23"/>
      <c r="N37" s="23"/>
      <c r="O37" s="23"/>
      <c r="P37" s="23"/>
      <c r="Q37" s="19"/>
      <c r="R37" s="19"/>
      <c r="S37" s="19"/>
      <c r="T37" s="19"/>
      <c r="U37" s="19"/>
      <c r="V37" s="19"/>
      <c r="W37" s="19"/>
      <c r="X37" s="19"/>
      <c r="Y37" s="19"/>
      <c r="Z37" s="19"/>
    </row>
    <row r="38" ht="19.5" customHeight="1">
      <c r="A38" s="19"/>
      <c r="B38" s="19"/>
      <c r="C38" s="23"/>
      <c r="D38" s="23"/>
      <c r="E38" s="23"/>
      <c r="F38" s="23"/>
      <c r="G38" s="23"/>
      <c r="H38" s="23"/>
      <c r="I38" s="23"/>
      <c r="J38" s="23"/>
      <c r="K38" s="23"/>
      <c r="L38" s="23"/>
      <c r="M38" s="23"/>
      <c r="N38" s="23"/>
      <c r="O38" s="23"/>
      <c r="P38" s="23"/>
      <c r="Q38" s="19"/>
      <c r="R38" s="19"/>
      <c r="S38" s="19"/>
      <c r="T38" s="19"/>
      <c r="U38" s="19"/>
      <c r="V38" s="19"/>
      <c r="W38" s="19"/>
      <c r="X38" s="19"/>
      <c r="Y38" s="19"/>
      <c r="Z38" s="19"/>
    </row>
    <row r="39" ht="19.5" customHeight="1">
      <c r="A39" s="19"/>
      <c r="B39" s="19"/>
      <c r="C39" s="23"/>
      <c r="D39" s="23"/>
      <c r="E39" s="23"/>
      <c r="F39" s="23"/>
      <c r="G39" s="23"/>
      <c r="H39" s="23"/>
      <c r="I39" s="23"/>
      <c r="J39" s="23"/>
      <c r="K39" s="23"/>
      <c r="L39" s="23"/>
      <c r="M39" s="23"/>
      <c r="N39" s="23"/>
      <c r="O39" s="23"/>
      <c r="P39" s="23"/>
      <c r="Q39" s="19"/>
      <c r="R39" s="19"/>
      <c r="S39" s="19"/>
      <c r="T39" s="19"/>
      <c r="U39" s="19"/>
      <c r="V39" s="19"/>
      <c r="W39" s="19"/>
      <c r="X39" s="19"/>
      <c r="Y39" s="19"/>
      <c r="Z39" s="19"/>
    </row>
    <row r="40" ht="19.5" customHeight="1">
      <c r="A40" s="19"/>
      <c r="B40" s="19"/>
      <c r="C40" s="19"/>
      <c r="D40" s="19"/>
      <c r="E40" s="19"/>
      <c r="F40" s="23"/>
      <c r="G40" s="23"/>
      <c r="H40" s="23"/>
      <c r="I40" s="23"/>
      <c r="J40" s="23"/>
      <c r="K40" s="23"/>
      <c r="L40" s="23"/>
      <c r="M40" s="23"/>
      <c r="N40" s="23"/>
      <c r="O40" s="23"/>
      <c r="P40" s="23"/>
      <c r="Q40" s="19"/>
      <c r="R40" s="19"/>
      <c r="S40" s="19"/>
      <c r="T40" s="19"/>
      <c r="U40" s="19"/>
      <c r="V40" s="19"/>
      <c r="W40" s="19"/>
      <c r="X40" s="19"/>
      <c r="Y40" s="19"/>
      <c r="Z40" s="19"/>
    </row>
    <row r="41" ht="19.5" customHeight="1">
      <c r="A41" s="19"/>
      <c r="B41" s="19"/>
      <c r="C41" s="23"/>
      <c r="D41" s="23"/>
      <c r="E41" s="23"/>
      <c r="F41" s="23"/>
      <c r="G41" s="23"/>
      <c r="H41" s="23"/>
      <c r="I41" s="23"/>
      <c r="J41" s="23"/>
      <c r="K41" s="23"/>
      <c r="L41" s="23"/>
      <c r="M41" s="23"/>
      <c r="N41" s="23"/>
      <c r="O41" s="23"/>
      <c r="P41" s="23"/>
      <c r="Q41" s="19"/>
      <c r="R41" s="19"/>
      <c r="S41" s="19"/>
      <c r="T41" s="19"/>
      <c r="U41" s="19"/>
      <c r="V41" s="19"/>
      <c r="W41" s="19"/>
      <c r="X41" s="19"/>
      <c r="Y41" s="19"/>
      <c r="Z41" s="19"/>
    </row>
    <row r="42" ht="19.5" customHeight="1">
      <c r="A42" s="19"/>
      <c r="B42" s="19"/>
      <c r="C42" s="23"/>
      <c r="D42" s="23"/>
      <c r="E42" s="23"/>
      <c r="F42" s="23"/>
      <c r="G42" s="23"/>
      <c r="H42" s="23"/>
      <c r="I42" s="23"/>
      <c r="J42" s="23"/>
      <c r="K42" s="23"/>
      <c r="L42" s="23"/>
      <c r="M42" s="23"/>
      <c r="N42" s="23"/>
      <c r="O42" s="23"/>
      <c r="P42" s="23"/>
      <c r="Q42" s="19"/>
      <c r="R42" s="19"/>
      <c r="S42" s="19"/>
      <c r="T42" s="19"/>
      <c r="U42" s="19"/>
      <c r="V42" s="19"/>
      <c r="W42" s="19"/>
      <c r="X42" s="19"/>
      <c r="Y42" s="19"/>
      <c r="Z42" s="19"/>
    </row>
    <row r="43" ht="19.5" customHeight="1">
      <c r="A43" s="19"/>
      <c r="B43" s="19"/>
      <c r="C43" s="23"/>
      <c r="D43" s="23"/>
      <c r="E43" s="23"/>
      <c r="F43" s="23"/>
      <c r="G43" s="23"/>
      <c r="H43" s="23"/>
      <c r="I43" s="23"/>
      <c r="J43" s="23"/>
      <c r="K43" s="23"/>
      <c r="L43" s="23"/>
      <c r="M43" s="23"/>
      <c r="N43" s="23"/>
      <c r="O43" s="23"/>
      <c r="P43" s="23"/>
      <c r="Q43" s="19"/>
      <c r="R43" s="19"/>
      <c r="S43" s="19"/>
      <c r="T43" s="19"/>
      <c r="U43" s="19"/>
      <c r="V43" s="19"/>
      <c r="W43" s="19"/>
      <c r="X43" s="19"/>
      <c r="Y43" s="19"/>
      <c r="Z43" s="19"/>
    </row>
    <row r="44" ht="19.5" customHeight="1">
      <c r="A44" s="19"/>
      <c r="B44" s="19"/>
      <c r="C44" s="23"/>
      <c r="D44" s="23"/>
      <c r="E44" s="23"/>
      <c r="F44" s="23"/>
      <c r="G44" s="23"/>
      <c r="H44" s="23"/>
      <c r="I44" s="23"/>
      <c r="J44" s="23"/>
      <c r="K44" s="23"/>
      <c r="L44" s="23"/>
      <c r="M44" s="23"/>
      <c r="N44" s="23"/>
      <c r="O44" s="23"/>
      <c r="P44" s="23"/>
      <c r="Q44" s="19"/>
      <c r="R44" s="19"/>
      <c r="S44" s="19"/>
      <c r="T44" s="19"/>
      <c r="U44" s="19"/>
      <c r="V44" s="19"/>
      <c r="W44" s="19"/>
      <c r="X44" s="19"/>
      <c r="Y44" s="19"/>
      <c r="Z44" s="19"/>
    </row>
    <row r="45" ht="19.5" customHeight="1">
      <c r="A45" s="19"/>
      <c r="B45" s="19"/>
      <c r="C45" s="23"/>
      <c r="D45" s="23"/>
      <c r="E45" s="23"/>
      <c r="F45" s="23"/>
      <c r="G45" s="23"/>
      <c r="H45" s="23"/>
      <c r="I45" s="23"/>
      <c r="J45" s="23"/>
      <c r="K45" s="23"/>
      <c r="L45" s="23"/>
      <c r="M45" s="23"/>
      <c r="N45" s="23"/>
      <c r="O45" s="23"/>
      <c r="P45" s="23"/>
      <c r="Q45" s="19"/>
      <c r="R45" s="19"/>
      <c r="S45" s="19"/>
      <c r="T45" s="19"/>
      <c r="U45" s="19"/>
      <c r="V45" s="19"/>
      <c r="W45" s="19"/>
      <c r="X45" s="19"/>
      <c r="Y45" s="19"/>
      <c r="Z45" s="19"/>
    </row>
    <row r="46" ht="19.5" customHeight="1">
      <c r="A46" s="19"/>
      <c r="B46" s="19"/>
      <c r="C46" s="23"/>
      <c r="D46" s="23"/>
      <c r="E46" s="23"/>
      <c r="F46" s="23"/>
      <c r="G46" s="23"/>
      <c r="H46" s="23"/>
      <c r="I46" s="23"/>
      <c r="J46" s="23"/>
      <c r="K46" s="23"/>
      <c r="L46" s="23"/>
      <c r="M46" s="23"/>
      <c r="N46" s="23"/>
      <c r="O46" s="23"/>
      <c r="P46" s="23"/>
      <c r="Q46" s="19"/>
      <c r="R46" s="19"/>
      <c r="S46" s="19"/>
      <c r="T46" s="19"/>
      <c r="U46" s="19"/>
      <c r="V46" s="19"/>
      <c r="W46" s="19"/>
      <c r="X46" s="19"/>
      <c r="Y46" s="19"/>
      <c r="Z46" s="19"/>
    </row>
    <row r="47" ht="19.5" customHeight="1">
      <c r="A47" s="19"/>
      <c r="B47" s="19"/>
      <c r="C47" s="23"/>
      <c r="D47" s="23"/>
      <c r="E47" s="23"/>
      <c r="F47" s="23"/>
      <c r="G47" s="23"/>
      <c r="H47" s="23"/>
      <c r="I47" s="23"/>
      <c r="J47" s="23"/>
      <c r="K47" s="23"/>
      <c r="L47" s="23"/>
      <c r="M47" s="23"/>
      <c r="N47" s="23"/>
      <c r="O47" s="23"/>
      <c r="P47" s="23"/>
      <c r="Q47" s="19"/>
      <c r="R47" s="19"/>
      <c r="S47" s="19"/>
      <c r="T47" s="19"/>
      <c r="U47" s="19"/>
      <c r="V47" s="19"/>
      <c r="W47" s="19"/>
      <c r="X47" s="19"/>
      <c r="Y47" s="19"/>
      <c r="Z47" s="19"/>
    </row>
    <row r="48" ht="19.5" customHeight="1">
      <c r="A48" s="19"/>
      <c r="B48" s="19"/>
      <c r="C48" s="23"/>
      <c r="D48" s="23"/>
      <c r="E48" s="23"/>
      <c r="F48" s="23"/>
      <c r="G48" s="23"/>
      <c r="H48" s="23"/>
      <c r="I48" s="23"/>
      <c r="J48" s="23"/>
      <c r="K48" s="23"/>
      <c r="L48" s="23"/>
      <c r="M48" s="23"/>
      <c r="N48" s="23"/>
      <c r="O48" s="23"/>
      <c r="P48" s="23"/>
      <c r="Q48" s="19"/>
      <c r="R48" s="19"/>
      <c r="S48" s="19"/>
      <c r="T48" s="19"/>
      <c r="U48" s="19"/>
      <c r="V48" s="19"/>
      <c r="W48" s="19"/>
      <c r="X48" s="19"/>
      <c r="Y48" s="19"/>
      <c r="Z48" s="19"/>
    </row>
    <row r="49" ht="19.5" customHeight="1">
      <c r="A49" s="19"/>
      <c r="B49" s="19"/>
      <c r="C49" s="23"/>
      <c r="D49" s="23"/>
      <c r="E49" s="23"/>
      <c r="F49" s="23"/>
      <c r="G49" s="23"/>
      <c r="H49" s="23"/>
      <c r="I49" s="23"/>
      <c r="J49" s="23"/>
      <c r="K49" s="23"/>
      <c r="L49" s="23"/>
      <c r="M49" s="23"/>
      <c r="N49" s="23"/>
      <c r="O49" s="23"/>
      <c r="P49" s="23"/>
      <c r="Q49" s="19"/>
      <c r="R49" s="19"/>
      <c r="S49" s="19"/>
      <c r="T49" s="19"/>
      <c r="U49" s="19"/>
      <c r="V49" s="19"/>
      <c r="W49" s="19"/>
      <c r="X49" s="19"/>
      <c r="Y49" s="19"/>
      <c r="Z49" s="19"/>
    </row>
    <row r="50" ht="19.5" customHeight="1">
      <c r="A50" s="19"/>
      <c r="B50" s="19"/>
      <c r="C50" s="23"/>
      <c r="D50" s="23"/>
      <c r="E50" s="23"/>
      <c r="F50" s="23"/>
      <c r="G50" s="23"/>
      <c r="H50" s="23"/>
      <c r="I50" s="23"/>
      <c r="J50" s="23"/>
      <c r="K50" s="23"/>
      <c r="L50" s="23"/>
      <c r="M50" s="23"/>
      <c r="N50" s="23"/>
      <c r="O50" s="23"/>
      <c r="P50" s="23"/>
      <c r="Q50" s="19"/>
      <c r="R50" s="19"/>
      <c r="S50" s="19"/>
      <c r="T50" s="19"/>
      <c r="U50" s="19"/>
      <c r="V50" s="19"/>
      <c r="W50" s="19"/>
      <c r="X50" s="19"/>
      <c r="Y50" s="19"/>
      <c r="Z50" s="19"/>
    </row>
    <row r="51" ht="19.5" customHeight="1">
      <c r="A51" s="19"/>
      <c r="B51" s="19"/>
      <c r="C51" s="23"/>
      <c r="D51" s="23"/>
      <c r="E51" s="23"/>
      <c r="F51" s="23"/>
      <c r="G51" s="23"/>
      <c r="H51" s="23"/>
      <c r="I51" s="23"/>
      <c r="J51" s="23"/>
      <c r="K51" s="23"/>
      <c r="L51" s="23"/>
      <c r="M51" s="23"/>
      <c r="N51" s="23"/>
      <c r="O51" s="23"/>
      <c r="P51" s="23"/>
      <c r="Q51" s="19"/>
      <c r="R51" s="19"/>
      <c r="S51" s="19"/>
      <c r="T51" s="19"/>
      <c r="U51" s="19"/>
      <c r="V51" s="19"/>
      <c r="W51" s="19"/>
      <c r="X51" s="19"/>
      <c r="Y51" s="19"/>
      <c r="Z51" s="19"/>
    </row>
    <row r="52" ht="19.5" customHeight="1">
      <c r="A52" s="19"/>
      <c r="B52" s="19"/>
      <c r="C52" s="23"/>
      <c r="D52" s="23"/>
      <c r="E52" s="23"/>
      <c r="F52" s="23"/>
      <c r="G52" s="23"/>
      <c r="H52" s="23"/>
      <c r="I52" s="23"/>
      <c r="J52" s="23"/>
      <c r="K52" s="23"/>
      <c r="L52" s="23"/>
      <c r="M52" s="23"/>
      <c r="N52" s="23"/>
      <c r="O52" s="23"/>
      <c r="P52" s="23"/>
      <c r="Q52" s="19"/>
      <c r="R52" s="19"/>
      <c r="S52" s="19"/>
      <c r="T52" s="19"/>
      <c r="U52" s="19"/>
      <c r="V52" s="19"/>
      <c r="W52" s="19"/>
      <c r="X52" s="19"/>
      <c r="Y52" s="19"/>
      <c r="Z52" s="19"/>
    </row>
    <row r="53" ht="19.5" customHeight="1">
      <c r="A53" s="19"/>
      <c r="B53" s="19"/>
      <c r="C53" s="23"/>
      <c r="D53" s="23"/>
      <c r="E53" s="23"/>
      <c r="F53" s="23"/>
      <c r="G53" s="23"/>
      <c r="H53" s="23"/>
      <c r="I53" s="23"/>
      <c r="J53" s="23"/>
      <c r="K53" s="23"/>
      <c r="L53" s="23"/>
      <c r="M53" s="23"/>
      <c r="N53" s="23"/>
      <c r="O53" s="23"/>
      <c r="P53" s="23"/>
      <c r="Q53" s="19"/>
      <c r="R53" s="19"/>
      <c r="S53" s="19"/>
      <c r="T53" s="19"/>
      <c r="U53" s="19"/>
      <c r="V53" s="19"/>
      <c r="W53" s="19"/>
      <c r="X53" s="19"/>
      <c r="Y53" s="19"/>
      <c r="Z53" s="19"/>
    </row>
    <row r="54" ht="19.5" customHeight="1">
      <c r="A54" s="19"/>
      <c r="B54" s="19"/>
      <c r="C54" s="23"/>
      <c r="D54" s="23"/>
      <c r="E54" s="23"/>
      <c r="F54" s="23"/>
      <c r="G54" s="23"/>
      <c r="H54" s="23"/>
      <c r="I54" s="23"/>
      <c r="J54" s="23"/>
      <c r="K54" s="23"/>
      <c r="L54" s="23"/>
      <c r="M54" s="23"/>
      <c r="N54" s="23"/>
      <c r="O54" s="23"/>
      <c r="P54" s="19"/>
      <c r="Q54" s="19"/>
      <c r="R54" s="19"/>
      <c r="S54" s="19"/>
      <c r="T54" s="19"/>
      <c r="U54" s="19"/>
      <c r="V54" s="19"/>
      <c r="W54" s="19"/>
      <c r="X54" s="19"/>
      <c r="Y54" s="19"/>
      <c r="Z54" s="19"/>
    </row>
    <row r="55" ht="15.75" customHeight="1">
      <c r="A55" s="19"/>
      <c r="B55" s="19"/>
      <c r="C55" s="23"/>
      <c r="D55" s="23"/>
      <c r="E55" s="23"/>
      <c r="F55" s="23"/>
      <c r="G55" s="23"/>
      <c r="H55" s="23"/>
      <c r="I55" s="23"/>
      <c r="J55" s="23"/>
      <c r="K55" s="23"/>
      <c r="L55" s="23"/>
      <c r="M55" s="23"/>
      <c r="N55" s="23"/>
      <c r="O55" s="23"/>
      <c r="P55" s="19"/>
      <c r="Q55" s="19"/>
      <c r="R55" s="19"/>
      <c r="S55" s="19"/>
      <c r="T55" s="19"/>
      <c r="U55" s="19"/>
      <c r="V55" s="19"/>
      <c r="W55" s="19"/>
      <c r="X55" s="19"/>
      <c r="Y55" s="19"/>
      <c r="Z55" s="19"/>
    </row>
    <row r="5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HU'!$B$6:$B$23</formula1>
    </dataValidation>
  </dataValidations>
  <printOptions horizontalCentered="1"/>
  <pageMargins bottom="0.7480314960629921" footer="0.0" header="0.0" left="0.7086614173228347" right="0.7086614173228347" top="0.7480314960629921"/>
  <pageSetup paperSize="9" orientation="landscape"/>
  <drawing r:id="rId1"/>
</worksheet>
</file>