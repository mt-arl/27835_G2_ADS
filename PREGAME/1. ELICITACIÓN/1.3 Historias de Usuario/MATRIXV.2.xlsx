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ato descripción HU" sheetId="1" r:id="rId4"/>
    <sheet state="visible" name="Historia de Usuario" sheetId="2" r:id="rId5"/>
  </sheets>
  <definedNames/>
  <calcPr/>
</workbook>
</file>

<file path=xl/sharedStrings.xml><?xml version="1.0" encoding="utf-8"?>
<sst xmlns="http://schemas.openxmlformats.org/spreadsheetml/2006/main" count="349" uniqueCount="228">
  <si>
    <t>Matriz de Marco de Trabajo de HU</t>
  </si>
  <si>
    <t>ITEM</t>
  </si>
  <si>
    <t>PROBLEMA</t>
  </si>
  <si>
    <t>QUE 
(NECESIDAD)</t>
  </si>
  <si>
    <t>PARA QUE 
(SOLUCIÓN)</t>
  </si>
  <si>
    <t>PARA QUIEN (USUARIO)</t>
  </si>
  <si>
    <t>COMO
 (DESCRIPCIÓN DE TAREAS)</t>
  </si>
  <si>
    <t>HECHO POR  (PROG. RESP.)</t>
  </si>
  <si>
    <t>CUANTO TIEMPO (ESTIMADO EN HRS)</t>
  </si>
  <si>
    <t>FECHA DE ENTREGA</t>
  </si>
  <si>
    <t>PRIORIDAD</t>
  </si>
  <si>
    <t>STATUS</t>
  </si>
  <si>
    <t>PRUEBA 
(COMO SE VERIFICA)</t>
  </si>
  <si>
    <t>COMENTARIOS</t>
  </si>
  <si>
    <t xml:space="preserve">NOMBRE DE HISTORIA </t>
  </si>
  <si>
    <t>REQ001</t>
  </si>
  <si>
    <t>El sistema debe permitir registrar la información del producto</t>
  </si>
  <si>
    <t>Registrar los datos del producto: nombre, precio, stock</t>
  </si>
  <si>
    <t>Para poder gestionar los productos y controlar su inventario</t>
  </si>
  <si>
    <t>Propietario</t>
  </si>
  <si>
    <t>Ingresar el nombre, precio, stock y otros datos del producto</t>
  </si>
  <si>
    <t>Camilo Orrico</t>
  </si>
  <si>
    <t>Alta/Esencial</t>
  </si>
  <si>
    <t>Pendiente</t>
  </si>
  <si>
    <t>Verificar que los cambios se reflejen correctamente.</t>
  </si>
  <si>
    <t>—</t>
  </si>
  <si>
    <t>Registrar producto</t>
  </si>
  <si>
    <t>REQ002</t>
  </si>
  <si>
    <t>El sistema debe permitir generar reportes de ventas</t>
  </si>
  <si>
    <t>Generar reportes de ventas por fecha, cliente, y producto</t>
  </si>
  <si>
    <t>Para poder hacer un seguimiento de las ventas y el rendimiento</t>
  </si>
  <si>
    <t>Seleccionar filtros de fecha, cliente, y productos para generar el reporte</t>
  </si>
  <si>
    <t>Verificar que se muestre la lista completa y filtrada.</t>
  </si>
  <si>
    <t>Generar reportes de ventas</t>
  </si>
  <si>
    <t>REQ003</t>
  </si>
  <si>
    <t>El sistema debe permitir al cliente diseñar mezclas personalizadas</t>
  </si>
  <si>
    <t>Permitir a los clientes seleccionar productos y crear mezclas personalizadas</t>
  </si>
  <si>
    <t>Para ofrecer a los clientes una experiencia personalizada</t>
  </si>
  <si>
    <t>Cliente</t>
  </si>
  <si>
    <t>Seleccionar productos y cantidades para crear la mezcla</t>
  </si>
  <si>
    <t>Verificar que el producto se elimine del sistema.</t>
  </si>
  <si>
    <t>Diseñar mezcla personalizada</t>
  </si>
  <si>
    <t>REQ004</t>
  </si>
  <si>
    <t>El sistema debe permitir editar la información del producto</t>
  </si>
  <si>
    <t>Editar los datos de los productos registrados</t>
  </si>
  <si>
    <t>Para mantener actualizada la información de los productos</t>
  </si>
  <si>
    <t>Seleccionar el producto y modificar los campos necesarios</t>
  </si>
  <si>
    <t>Matías Lugmaña</t>
  </si>
  <si>
    <t>Verificar creación exitosa en base de datos.</t>
  </si>
  <si>
    <t>Actualizar producto</t>
  </si>
  <si>
    <t>REQ005</t>
  </si>
  <si>
    <t>El sistema debe permitir eliminar productos del inventario</t>
  </si>
  <si>
    <t>Eliminar productos del inventario de forma lógica</t>
  </si>
  <si>
    <t>Para mantener el inventario actualizado y eliminar productos no disponibles</t>
  </si>
  <si>
    <t>Seleccionar el producto y confirmar la eliminación</t>
  </si>
  <si>
    <t>Matias Lugmaña</t>
  </si>
  <si>
    <t>Verificar que los cambios se guarden correctamente.</t>
  </si>
  <si>
    <t>Eliminar producto</t>
  </si>
  <si>
    <t>REQ006</t>
  </si>
  <si>
    <t>El sistema debe permitir consultar los productos registrados</t>
  </si>
  <si>
    <t>Consultar los productos disponibles en el inventario</t>
  </si>
  <si>
    <t>Para ver los productos y sus detalles antes de realizar una venta o pedido</t>
  </si>
  <si>
    <t>Acceder a la lista de productos y seleccionar para ver más detalles</t>
  </si>
  <si>
    <t>Verificar resultados de búsqueda correctos.</t>
  </si>
  <si>
    <t>Consultar producto</t>
  </si>
  <si>
    <t>REQ007</t>
  </si>
  <si>
    <t>El sistema debe permitir registrar clientes</t>
  </si>
  <si>
    <t>Registrar nuevos clientes en la base de datos</t>
  </si>
  <si>
    <t>Para realizar pedidos y asociar clientes a ventas</t>
  </si>
  <si>
    <t>Ingresar los datos del cliente: nombre, identificación, correo electrónico</t>
  </si>
  <si>
    <t>Verificar eliminación en la base de datos.</t>
  </si>
  <si>
    <t>Registrar cliente</t>
  </si>
  <si>
    <t>REQ008</t>
  </si>
  <si>
    <t>El sistema debe permitir editar la información de los clientes</t>
  </si>
  <si>
    <t>Editar los datos de los clientes registrados</t>
  </si>
  <si>
    <t>Para mantener actualizada la información de los clientes</t>
  </si>
  <si>
    <t>Seleccionar el cliente y modificar los datos</t>
  </si>
  <si>
    <t>Denise Rea</t>
  </si>
  <si>
    <t>Verificar registro y cálculo total correcto.</t>
  </si>
  <si>
    <t>Actualizar cliente</t>
  </si>
  <si>
    <t>REQ009</t>
  </si>
  <si>
    <t>El sistema debe permitir eliminar clientes del sistema</t>
  </si>
  <si>
    <t>Eliminar clientes registrados</t>
  </si>
  <si>
    <t>Para borrar clientes que ya no son necesarios</t>
  </si>
  <si>
    <t>Seleccionar el cliente y confirmar la eliminación</t>
  </si>
  <si>
    <t>Verificar actualización correcta del pedido.</t>
  </si>
  <si>
    <t>Eliminar cliente</t>
  </si>
  <si>
    <t>REQ010</t>
  </si>
  <si>
    <t>El sistema debe permitir crear pedidos</t>
  </si>
  <si>
    <t>Registrar nuevos pedidos con productos y clientes asociados</t>
  </si>
  <si>
    <t>Para procesar y gestionar las ventas</t>
  </si>
  <si>
    <t>Seleccionar cliente y productos, agregar cantidades y registrar el pedido</t>
  </si>
  <si>
    <t>Verificar que se muestre la información correcta.</t>
  </si>
  <si>
    <t>Registrar pedido</t>
  </si>
  <si>
    <t>REQ011</t>
  </si>
  <si>
    <t>El sistema debe permitir consultar pedidos</t>
  </si>
  <si>
    <t>Consultar detalles de los pedidos realizados</t>
  </si>
  <si>
    <t>Para revisar el estado de los pedidos y sus detalles</t>
  </si>
  <si>
    <t>Acceder a la lista de pedidos y ver el detalle del pedido seleccionado</t>
  </si>
  <si>
    <t>Verificar eliminación correcta del registro.</t>
  </si>
  <si>
    <t>Consultar pedido</t>
  </si>
  <si>
    <t>REQ012</t>
  </si>
  <si>
    <t>El sistema debe permitir actualizar el estado de los pedidos</t>
  </si>
  <si>
    <t>Actualizar el estado de un pedido (pendiente, en proceso, completado)</t>
  </si>
  <si>
    <t>Para gestionar el progreso de los pedidos</t>
  </si>
  <si>
    <t>Seleccionar el pedido y actualizar su estado</t>
  </si>
  <si>
    <t>Verificar transición correcta entre estados.</t>
  </si>
  <si>
    <t>Actualizar estado de pedido</t>
  </si>
  <si>
    <t>REQ013</t>
  </si>
  <si>
    <t>El sistema debe permitir eliminar pedidos</t>
  </si>
  <si>
    <t>Eliminar un pedido del sistema</t>
  </si>
  <si>
    <t>Para cancelar pedidos que ya no se desean procesar</t>
  </si>
  <si>
    <t>Seleccionar el pedido y confirmar la eliminación</t>
  </si>
  <si>
    <t>Verificar exportación y formato correcto.</t>
  </si>
  <si>
    <t>Eliminar pedido</t>
  </si>
  <si>
    <t>REQ014</t>
  </si>
  <si>
    <t>El sistema debe permitir generar reportes de pedidos</t>
  </si>
  <si>
    <t>Generar reportes con los pedidos realizados</t>
  </si>
  <si>
    <t>Para tener una visión general de las ventas y el estado de los pedidos</t>
  </si>
  <si>
    <t>Seleccionar los criterios para el reporte (fecha, cliente, estado)</t>
  </si>
  <si>
    <t>Julio Viche</t>
  </si>
  <si>
    <t>Verificar creación correcta de mezcla.</t>
  </si>
  <si>
    <t>Generar reporte de pedidos</t>
  </si>
  <si>
    <t>REQ015</t>
  </si>
  <si>
    <t>El sistema debe permitir calcular la información nutricional de mezclas personalizadas</t>
  </si>
  <si>
    <t>Calcular automáticamente la información nutricional de las mezclas</t>
  </si>
  <si>
    <t>Para proporcionar a los clientes los datos nutricionales de sus mezclas</t>
  </si>
  <si>
    <t>Seleccionar los productos y cantidades para la mezcla y obtener los datos nutricionales</t>
  </si>
  <si>
    <t>Verificar que las mezclas se carguen correctamente.</t>
  </si>
  <si>
    <t>Calcular datos nutricionales</t>
  </si>
  <si>
    <t>REQ016</t>
  </si>
  <si>
    <t>El sistema debe permitir exportar datos en Excel</t>
  </si>
  <si>
    <t>Exportar datos de pedidos y ventas a un archivo Excel</t>
  </si>
  <si>
    <t>Para generar reportes que se pueden analizar fuera del sistema</t>
  </si>
  <si>
    <t>Seleccionar los datos que se desean exportar y generar el archivo Excel</t>
  </si>
  <si>
    <t>Verificar guardado y recuperación posterior.</t>
  </si>
  <si>
    <t>Exportar datos en Excel</t>
  </si>
  <si>
    <t>REQ017</t>
  </si>
  <si>
    <t>El sistema debe permitir gestionar inventarios</t>
  </si>
  <si>
    <t>Controlar el stock de los productos disponibles</t>
  </si>
  <si>
    <t>Para evitar la venta de productos fuera de inventario</t>
  </si>
  <si>
    <t>Monitorear el stock de productos y realizar ajustes cuando sea necesario</t>
  </si>
  <si>
    <t>Comparar resultados nutricionales con valores esperados.</t>
  </si>
  <si>
    <t>Gestionar inventarios</t>
  </si>
  <si>
    <t>REQ018</t>
  </si>
  <si>
    <t>Sistema lento con muchos datos.</t>
  </si>
  <si>
    <t>Mejorar rendimiento.</t>
  </si>
  <si>
    <t>Acelerar respuestas al usuario.</t>
  </si>
  <si>
    <t>Propietario / Cliente</t>
  </si>
  <si>
    <t>Optimizar consultas y CRUD.</t>
  </si>
  <si>
    <t>Crítico</t>
  </si>
  <si>
    <t>Medir tiempos &lt;1 s en consultas.</t>
  </si>
  <si>
    <t>Rendimiento</t>
  </si>
  <si>
    <t>REQ019</t>
  </si>
  <si>
    <t>Sistema no disponible constantemente.</t>
  </si>
  <si>
    <t>Garantizar disponibilidad.</t>
  </si>
  <si>
    <t>Evitar interrupciones.</t>
  </si>
  <si>
    <t>Configurar disponibilidad 98 % y recuperación &lt;3 min.</t>
  </si>
  <si>
    <t>Obligatorio</t>
  </si>
  <si>
    <t>Simular caída y medir recuperación.</t>
  </si>
  <si>
    <t>Disponibilidad</t>
  </si>
  <si>
    <t>REQ020</t>
  </si>
  <si>
    <t>Interfaz poco amigable.</t>
  </si>
  <si>
    <t>Mejorar usabilidad.</t>
  </si>
  <si>
    <t>Hacer la app fácil de usar.</t>
  </si>
  <si>
    <t>Diseñar GUI intuitiva con validaciones.</t>
  </si>
  <si>
    <t>Importante</t>
  </si>
  <si>
    <t>Prueba de usuario y validación de formularios.</t>
  </si>
  <si>
    <t>Usabilidad</t>
  </si>
  <si>
    <t>REQ021</t>
  </si>
  <si>
    <t>Errores en datos manuales.</t>
  </si>
  <si>
    <t>Asegurar integridad de datos.</t>
  </si>
  <si>
    <t>Evitar duplicados y pérdida.</t>
  </si>
  <si>
    <t>Implementar validaciones y reglas.</t>
  </si>
  <si>
    <t>Probar integridad entre tablas.</t>
  </si>
  <si>
    <t>Integridad de Datos</t>
  </si>
  <si>
    <t>REQ022</t>
  </si>
  <si>
    <t>Sistema no escala con más registros.</t>
  </si>
  <si>
    <t>Permitir escalabilidad.</t>
  </si>
  <si>
    <t>Soportar más usuarios y registros.</t>
  </si>
  <si>
    <t>Diseñar arquitectura escalable en backend y BD.</t>
  </si>
  <si>
    <t>Ejecutar pruebas de carga y rendimiento.</t>
  </si>
  <si>
    <t>Escalabilidad</t>
  </si>
  <si>
    <t>REQ023</t>
  </si>
  <si>
    <t>Difícil mantenimiento del sistema.</t>
  </si>
  <si>
    <t>Mejorar mantenibilidad.</t>
  </si>
  <si>
    <t>Facilitar actualizaciones.</t>
  </si>
  <si>
    <t>Desarrollador</t>
  </si>
  <si>
    <t>Modularizar código y documentar.</t>
  </si>
  <si>
    <t>Validar facilidad de corrección.</t>
  </si>
  <si>
    <t>Mantenibilidad</t>
  </si>
  <si>
    <t>REQ024</t>
  </si>
  <si>
    <t>Riesgo de pérdida de datos.</t>
  </si>
  <si>
    <t>Implementar respaldo.</t>
  </si>
  <si>
    <t>Proteger información crítica.</t>
  </si>
  <si>
    <t>Configurar copias automáticas y restauración.</t>
  </si>
  <si>
    <t>Restaurar copia y validar datos.</t>
  </si>
  <si>
    <t>Respaldo y Recuperación</t>
  </si>
  <si>
    <t>REQ025</t>
  </si>
  <si>
    <t>Dependencia de un solo sistema operativo.</t>
  </si>
  <si>
    <t>Mejorar portabilidad.</t>
  </si>
  <si>
    <t>Funcionar en varios entornos.</t>
  </si>
  <si>
    <t>Usar tecnologías multiplataforma.</t>
  </si>
  <si>
    <t>Ejecutar pruebas en distintos SO.</t>
  </si>
  <si>
    <t>Portabilidad</t>
  </si>
  <si>
    <t>REQ026</t>
  </si>
  <si>
    <t>Cálculos erróneos manuales.</t>
  </si>
  <si>
    <t>Asegurar precisión.</t>
  </si>
  <si>
    <t>Mostrar resultados correctos.</t>
  </si>
  <si>
    <t>Validar fórmulas de precios y nutrición.</t>
  </si>
  <si>
    <t>Comparar resultados calculados.</t>
  </si>
  <si>
    <t>Precisión de Cálculos</t>
  </si>
  <si>
    <t>REQ027</t>
  </si>
  <si>
    <t>Sugerencias poco relevantes.</t>
  </si>
  <si>
    <t>Mejorar recomendaciones.</t>
  </si>
  <si>
    <t>Personalizar sugerencias.</t>
  </si>
  <si>
    <t>Analizar historial de mezclas y ofrecer sugerencias.</t>
  </si>
  <si>
    <t>Validar relevancia con usuarios.</t>
  </si>
  <si>
    <t>Calidad de Recomendación</t>
  </si>
  <si>
    <t>HISTORIA DE USUARIO (HU)</t>
  </si>
  <si>
    <t>USUARIO</t>
  </si>
  <si>
    <t>TIEMPO</t>
  </si>
  <si>
    <t>PROG. RESP</t>
  </si>
  <si>
    <t>QUE</t>
  </si>
  <si>
    <t>PARA QUE</t>
  </si>
  <si>
    <t>COMO</t>
  </si>
  <si>
    <t>NOMBRE HISTORIA</t>
  </si>
  <si>
    <t>PRUEBA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</si>
</sst>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16">
    <font>
      <sz val="11.0"/>
      <color theme="1"/>
      <name val="Arial"/>
      <scheme val="minor"/>
    </font>
    <font>
      <sz val="11.0"/>
      <color theme="1"/>
      <name val="Arial Narrow"/>
    </font>
    <font>
      <b/>
      <i/>
      <sz val="16.0"/>
      <color theme="1"/>
      <name val="Arial Narrow"/>
    </font>
    <font/>
    <font>
      <b/>
      <i/>
      <sz val="11.0"/>
      <color rgb="FF9C6500"/>
      <name val="Arial Narrow"/>
    </font>
    <font>
      <sz val="10.0"/>
      <color theme="1"/>
      <name val="Arial Narrow"/>
    </font>
    <font>
      <sz val="10.0"/>
      <color rgb="FF000000"/>
      <name val="Arial Narrow"/>
    </font>
    <font>
      <color theme="1"/>
      <name val="Arial Narrow"/>
    </font>
    <font>
      <b/>
      <sz val="11.0"/>
      <color theme="1"/>
      <name val="Calibri"/>
    </font>
    <font>
      <sz val="11.0"/>
      <color theme="1"/>
      <name val="Calibri"/>
    </font>
    <font>
      <b/>
      <sz val="16.0"/>
      <color theme="1"/>
      <name val="Calibri"/>
    </font>
    <font>
      <sz val="11.0"/>
      <color theme="1"/>
      <name val="Arial"/>
    </font>
    <font>
      <b/>
      <sz val="11.0"/>
      <color theme="0"/>
      <name val="Calibri"/>
    </font>
    <font>
      <b/>
      <sz val="11.0"/>
      <color rgb="FFFA7D00"/>
      <name val="Calibri"/>
    </font>
    <font>
      <sz val="12.0"/>
      <color theme="1"/>
      <name val="Calibri"/>
    </font>
    <font>
      <b/>
      <i/>
      <sz val="12.0"/>
      <color rgb="FF9C65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FFEB9C"/>
        <bgColor rgb="FFFFEB9C"/>
      </patternFill>
    </fill>
  </fills>
  <borders count="3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/>
      <right/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B2B2B2"/>
      </left>
      <top style="thin">
        <color rgb="FFB2B2B2"/>
      </top>
    </border>
    <border>
      <top style="thin">
        <color rgb="FFB2B2B2"/>
      </top>
    </border>
    <border>
      <right style="thin">
        <color rgb="FFB2B2B2"/>
      </right>
      <top style="thin">
        <color rgb="FFB2B2B2"/>
      </top>
    </border>
    <border>
      <left style="thin">
        <color rgb="FFB2B2B2"/>
      </left>
      <bottom style="thin">
        <color rgb="FFB2B2B2"/>
      </bottom>
    </border>
    <border>
      <bottom style="thin">
        <color rgb="FFB2B2B2"/>
      </bottom>
    </border>
    <border>
      <right style="thin">
        <color rgb="FFB2B2B2"/>
      </right>
      <bottom style="thin">
        <color rgb="FFB2B2B2"/>
      </bottom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center" vertical="center"/>
    </xf>
    <xf borderId="2" fillId="0" fontId="3" numFmtId="0" xfId="0" applyBorder="1" applyFont="1"/>
    <xf borderId="3" fillId="0" fontId="3" numFmtId="0" xfId="0" applyBorder="1" applyFont="1"/>
    <xf borderId="4" fillId="2" fontId="4" numFmtId="0" xfId="0" applyAlignment="1" applyBorder="1" applyFill="1" applyFont="1">
      <alignment horizontal="center" shrinkToFit="0" vertical="center" wrapText="1"/>
    </xf>
    <xf borderId="4" fillId="3" fontId="5" numFmtId="0" xfId="0" applyAlignment="1" applyBorder="1" applyFill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0" fontId="5" numFmtId="164" xfId="0" applyAlignment="1" applyBorder="1" applyFont="1" applyNumberFormat="1">
      <alignment horizontal="center" readingOrder="0" shrinkToFit="0" vertical="center" wrapText="1"/>
    </xf>
    <xf borderId="4" fillId="0" fontId="5" numFmtId="49" xfId="0" applyAlignment="1" applyBorder="1" applyFont="1" applyNumberFormat="1">
      <alignment horizontal="center" readingOrder="0" shrinkToFit="0" vertical="center" wrapText="1"/>
    </xf>
    <xf borderId="4" fillId="4" fontId="6" numFmtId="0" xfId="0" applyAlignment="1" applyBorder="1" applyFill="1" applyFont="1">
      <alignment horizontal="center" readingOrder="0" shrinkToFit="0" vertical="center" wrapText="1"/>
    </xf>
    <xf borderId="4" fillId="0" fontId="6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readingOrder="0"/>
    </xf>
    <xf borderId="4" fillId="0" fontId="5" numFmtId="0" xfId="0" applyAlignment="1" applyBorder="1" applyFont="1">
      <alignment readingOrder="0" shrinkToFit="0" vertical="center" wrapText="1"/>
    </xf>
    <xf borderId="4" fillId="4" fontId="6" numFmtId="0" xfId="0" applyAlignment="1" applyBorder="1" applyFont="1">
      <alignment horizontal="left" readingOrder="0" shrinkToFit="0" vertical="center" wrapText="1"/>
    </xf>
    <xf borderId="4" fillId="0" fontId="1" numFmtId="0" xfId="0" applyAlignment="1" applyBorder="1" applyFont="1">
      <alignment horizontal="center" readingOrder="0" shrinkToFit="0" wrapText="1"/>
    </xf>
    <xf borderId="4" fillId="3" fontId="5" numFmtId="0" xfId="0" applyAlignment="1" applyBorder="1" applyFont="1">
      <alignment readingOrder="0" shrinkToFit="0" vertical="center" wrapText="1"/>
    </xf>
    <xf borderId="4" fillId="3" fontId="7" numFmtId="0" xfId="0" applyAlignment="1" applyBorder="1" applyFont="1">
      <alignment shrinkToFit="0" wrapText="1"/>
    </xf>
    <xf borderId="4" fillId="0" fontId="7" numFmtId="0" xfId="0" applyAlignment="1" applyBorder="1" applyFont="1">
      <alignment horizontal="center" shrinkToFit="0" wrapText="1"/>
    </xf>
    <xf borderId="4" fillId="4" fontId="7" numFmtId="0" xfId="0" applyAlignment="1" applyBorder="1" applyFont="1">
      <alignment horizontal="center" shrinkToFit="0" wrapText="1"/>
    </xf>
    <xf borderId="4" fillId="0" fontId="7" numFmtId="164" xfId="0" applyAlignment="1" applyBorder="1" applyFont="1" applyNumberFormat="1">
      <alignment horizontal="center" shrinkToFit="0" wrapText="1"/>
    </xf>
    <xf borderId="4" fillId="0" fontId="7" numFmtId="49" xfId="0" applyAlignment="1" applyBorder="1" applyFont="1" applyNumberFormat="1">
      <alignment horizontal="center" shrinkToFit="0" wrapText="1"/>
    </xf>
    <xf borderId="0" fillId="0" fontId="8" numFmtId="0" xfId="0" applyAlignment="1" applyFont="1">
      <alignment horizontal="left" shrinkToFit="0" vertical="center" wrapText="1"/>
    </xf>
    <xf borderId="0" fillId="0" fontId="9" numFmtId="0" xfId="0" applyFont="1"/>
    <xf borderId="1" fillId="5" fontId="10" numFmtId="0" xfId="0" applyAlignment="1" applyBorder="1" applyFill="1" applyFont="1">
      <alignment horizontal="center" shrinkToFit="0" vertical="center" wrapText="1"/>
    </xf>
    <xf borderId="0" fillId="0" fontId="11" numFmtId="0" xfId="0" applyFont="1"/>
    <xf borderId="0" fillId="0" fontId="8" numFmtId="0" xfId="0" applyAlignment="1" applyFont="1">
      <alignment horizontal="center" shrinkToFit="0" vertical="center" wrapText="1"/>
    </xf>
    <xf borderId="5" fillId="5" fontId="11" numFmtId="0" xfId="0" applyBorder="1" applyFont="1"/>
    <xf borderId="6" fillId="5" fontId="8" numFmtId="0" xfId="0" applyAlignment="1" applyBorder="1" applyFont="1">
      <alignment horizontal="left" shrinkToFit="0" vertical="center" wrapText="1"/>
    </xf>
    <xf borderId="6" fillId="5" fontId="9" numFmtId="0" xfId="0" applyBorder="1" applyFont="1"/>
    <xf borderId="6" fillId="5" fontId="11" numFmtId="0" xfId="0" applyBorder="1" applyFont="1"/>
    <xf borderId="7" fillId="5" fontId="11" numFmtId="0" xfId="0" applyBorder="1" applyFont="1"/>
    <xf borderId="8" fillId="5" fontId="11" numFmtId="0" xfId="0" applyBorder="1" applyFont="1"/>
    <xf borderId="4" fillId="6" fontId="12" numFmtId="0" xfId="0" applyAlignment="1" applyBorder="1" applyFill="1" applyFont="1">
      <alignment horizontal="center" vertical="center"/>
    </xf>
    <xf borderId="9" fillId="5" fontId="13" numFmtId="0" xfId="0" applyAlignment="1" applyBorder="1" applyFont="1">
      <alignment vertical="center"/>
    </xf>
    <xf borderId="1" fillId="6" fontId="12" numFmtId="0" xfId="0" applyAlignment="1" applyBorder="1" applyFont="1">
      <alignment horizontal="center" vertical="center"/>
    </xf>
    <xf borderId="9" fillId="5" fontId="11" numFmtId="0" xfId="0" applyBorder="1" applyFont="1"/>
    <xf borderId="10" fillId="5" fontId="11" numFmtId="0" xfId="0" applyBorder="1" applyFont="1"/>
    <xf borderId="4" fillId="7" fontId="14" numFmtId="0" xfId="0" applyAlignment="1" applyBorder="1" applyFill="1" applyFont="1">
      <alignment horizontal="center" readingOrder="0" vertical="center"/>
    </xf>
    <xf borderId="9" fillId="5" fontId="9" numFmtId="0" xfId="0" applyAlignment="1" applyBorder="1" applyFont="1">
      <alignment shrinkToFit="0" vertical="center" wrapText="1"/>
    </xf>
    <xf borderId="1" fillId="7" fontId="9" numFmtId="0" xfId="0" applyAlignment="1" applyBorder="1" applyFont="1">
      <alignment horizontal="center" vertical="center"/>
    </xf>
    <xf borderId="9" fillId="5" fontId="9" numFmtId="0" xfId="0" applyAlignment="1" applyBorder="1" applyFont="1">
      <alignment vertical="center"/>
    </xf>
    <xf borderId="9" fillId="5" fontId="14" numFmtId="0" xfId="0" applyAlignment="1" applyBorder="1" applyFont="1">
      <alignment horizontal="center" vertical="center"/>
    </xf>
    <xf borderId="9" fillId="5" fontId="9" numFmtId="0" xfId="0" applyAlignment="1" applyBorder="1" applyFont="1">
      <alignment horizontal="center" vertical="center"/>
    </xf>
    <xf borderId="4" fillId="7" fontId="14" numFmtId="0" xfId="0" applyAlignment="1" applyBorder="1" applyFont="1">
      <alignment horizontal="center" vertical="center"/>
    </xf>
    <xf borderId="11" fillId="8" fontId="12" numFmtId="0" xfId="0" applyAlignment="1" applyBorder="1" applyFill="1" applyFont="1">
      <alignment horizontal="center" vertical="center"/>
    </xf>
    <xf borderId="12" fillId="7" fontId="9" numFmtId="0" xfId="0" applyAlignment="1" applyBorder="1" applyFont="1">
      <alignment horizontal="center" shrinkToFit="0" vertical="center" wrapText="1"/>
    </xf>
    <xf borderId="13" fillId="0" fontId="3" numFmtId="0" xfId="0" applyBorder="1" applyFont="1"/>
    <xf borderId="9" fillId="5" fontId="11" numFmtId="0" xfId="0" applyAlignment="1" applyBorder="1" applyFont="1">
      <alignment horizontal="center"/>
    </xf>
    <xf borderId="14" fillId="0" fontId="3" numFmtId="0" xfId="0" applyBorder="1" applyFont="1"/>
    <xf borderId="12" fillId="7" fontId="9" numFmtId="0" xfId="0" applyAlignment="1" applyBorder="1" applyFont="1">
      <alignment horizontal="left" vertical="center"/>
    </xf>
    <xf borderId="15" fillId="0" fontId="3" numFmtId="0" xfId="0" applyBorder="1" applyFont="1"/>
    <xf borderId="16" fillId="0" fontId="3" numFmtId="0" xfId="0" applyBorder="1" applyFont="1"/>
    <xf borderId="17" fillId="0" fontId="3" numFmtId="0" xfId="0" applyBorder="1" applyFont="1"/>
    <xf borderId="18" fillId="0" fontId="3" numFmtId="0" xfId="0" applyBorder="1" applyFont="1"/>
    <xf borderId="19" fillId="0" fontId="3" numFmtId="0" xfId="0" applyBorder="1" applyFont="1"/>
    <xf borderId="20" fillId="0" fontId="3" numFmtId="0" xfId="0" applyBorder="1" applyFont="1"/>
    <xf borderId="21" fillId="0" fontId="3" numFmtId="0" xfId="0" applyBorder="1" applyFont="1"/>
    <xf borderId="12" fillId="9" fontId="15" numFmtId="0" xfId="0" applyAlignment="1" applyBorder="1" applyFill="1" applyFont="1">
      <alignment horizontal="center" vertical="center"/>
    </xf>
    <xf borderId="22" fillId="2" fontId="14" numFmtId="0" xfId="0" applyAlignment="1" applyBorder="1" applyFont="1">
      <alignment horizontal="center" vertical="center"/>
    </xf>
    <xf borderId="23" fillId="0" fontId="3" numFmtId="0" xfId="0" applyBorder="1" applyFont="1"/>
    <xf borderId="24" fillId="0" fontId="3" numFmtId="0" xfId="0" applyBorder="1" applyFont="1"/>
    <xf borderId="25" fillId="0" fontId="3" numFmtId="0" xfId="0" applyBorder="1" applyFont="1"/>
    <xf borderId="26" fillId="0" fontId="3" numFmtId="0" xfId="0" applyBorder="1" applyFont="1"/>
    <xf borderId="27" fillId="0" fontId="3" numFmtId="0" xfId="0" applyBorder="1" applyFont="1"/>
    <xf borderId="12" fillId="6" fontId="12" numFmtId="0" xfId="0" applyAlignment="1" applyBorder="1" applyFont="1">
      <alignment horizontal="center" vertical="center"/>
    </xf>
    <xf borderId="12" fillId="7" fontId="9" numFmtId="49" xfId="0" applyAlignment="1" applyBorder="1" applyFont="1" applyNumberFormat="1">
      <alignment horizontal="left" vertical="center"/>
    </xf>
    <xf borderId="12" fillId="7" fontId="9" numFmtId="0" xfId="0" applyAlignment="1" applyBorder="1" applyFont="1">
      <alignment horizontal="center" vertical="center"/>
    </xf>
    <xf borderId="28" fillId="5" fontId="11" numFmtId="0" xfId="0" applyBorder="1" applyFont="1"/>
    <xf borderId="29" fillId="5" fontId="11" numFmtId="0" xfId="0" applyBorder="1" applyFont="1"/>
    <xf borderId="30" fillId="5" fontId="11" numFmtId="0" xfId="0" applyBorder="1" applyFont="1"/>
  </cellXfs>
  <cellStyles count="1">
    <cellStyle xfId="0" name="Normal" builtinId="0"/>
  </cellStyles>
  <dxfs count="3"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jp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552450</xdr:colOff>
      <xdr:row>8</xdr:row>
      <xdr:rowOff>266700</xdr:rowOff>
    </xdr:from>
    <xdr:ext cx="1066800" cy="1162050"/>
    <xdr:pic>
      <xdr:nvPicPr>
        <xdr:cNvPr id="0" name="image2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219075</xdr:colOff>
      <xdr:row>8</xdr:row>
      <xdr:rowOff>266700</xdr:rowOff>
    </xdr:from>
    <xdr:ext cx="1095375" cy="1162050"/>
    <xdr:pic>
      <xdr:nvPicPr>
        <xdr:cNvPr id="0" name="image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4.63"/>
    <col customWidth="1" min="2" max="2" width="6.63"/>
    <col customWidth="1" min="3" max="5" width="20.63"/>
    <col customWidth="1" min="6" max="6" width="13.13"/>
    <col customWidth="1" min="7" max="7" width="32.5"/>
    <col customWidth="1" min="8" max="12" width="10.63"/>
    <col customWidth="1" min="13" max="13" width="32.75"/>
    <col customWidth="1" min="14" max="15" width="20.63"/>
    <col customWidth="1" min="16" max="26" width="9.38"/>
  </cols>
  <sheetData>
    <row r="1">
      <c r="A1" s="1"/>
      <c r="B1" s="1"/>
      <c r="C1" s="1"/>
      <c r="D1" s="1"/>
      <c r="E1" s="1"/>
      <c r="F1" s="1"/>
      <c r="G1" s="1"/>
      <c r="H1" s="1"/>
      <c r="I1" s="2"/>
      <c r="J1" s="2"/>
      <c r="K1" s="3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2"/>
      <c r="J2" s="2"/>
      <c r="K2" s="3"/>
      <c r="L2" s="2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45.0" customHeight="1">
      <c r="A3" s="1"/>
      <c r="B3" s="4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2"/>
      <c r="J4" s="2"/>
      <c r="K4" s="3"/>
      <c r="L4" s="2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60.0" customHeight="1">
      <c r="A5" s="1"/>
      <c r="B5" s="7" t="s">
        <v>1</v>
      </c>
      <c r="C5" s="7" t="s">
        <v>2</v>
      </c>
      <c r="D5" s="7" t="s">
        <v>3</v>
      </c>
      <c r="E5" s="7" t="s">
        <v>4</v>
      </c>
      <c r="F5" s="7" t="s">
        <v>5</v>
      </c>
      <c r="G5" s="7" t="s">
        <v>6</v>
      </c>
      <c r="H5" s="7" t="s">
        <v>7</v>
      </c>
      <c r="I5" s="7" t="s">
        <v>8</v>
      </c>
      <c r="J5" s="7" t="s">
        <v>9</v>
      </c>
      <c r="K5" s="7" t="s">
        <v>10</v>
      </c>
      <c r="L5" s="7" t="s">
        <v>11</v>
      </c>
      <c r="M5" s="7" t="s">
        <v>12</v>
      </c>
      <c r="N5" s="7" t="s">
        <v>13</v>
      </c>
      <c r="O5" s="7" t="s">
        <v>14</v>
      </c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75.75" customHeight="1">
      <c r="A6" s="1"/>
      <c r="B6" s="8" t="s">
        <v>15</v>
      </c>
      <c r="C6" s="9" t="s">
        <v>16</v>
      </c>
      <c r="D6" s="9" t="s">
        <v>17</v>
      </c>
      <c r="E6" s="9" t="s">
        <v>18</v>
      </c>
      <c r="F6" s="9" t="s">
        <v>19</v>
      </c>
      <c r="G6" s="9" t="s">
        <v>20</v>
      </c>
      <c r="H6" s="9" t="s">
        <v>21</v>
      </c>
      <c r="I6" s="9">
        <v>6.0</v>
      </c>
      <c r="J6" s="10">
        <v>45976.0</v>
      </c>
      <c r="K6" s="9" t="s">
        <v>22</v>
      </c>
      <c r="L6" s="9" t="s">
        <v>23</v>
      </c>
      <c r="M6" s="11" t="s">
        <v>24</v>
      </c>
      <c r="N6" s="9" t="s">
        <v>25</v>
      </c>
      <c r="O6" s="9" t="s">
        <v>26</v>
      </c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75.75" customHeight="1">
      <c r="A7" s="1"/>
      <c r="B7" s="8" t="s">
        <v>27</v>
      </c>
      <c r="C7" s="9" t="s">
        <v>28</v>
      </c>
      <c r="D7" s="9" t="s">
        <v>29</v>
      </c>
      <c r="E7" s="9" t="s">
        <v>30</v>
      </c>
      <c r="F7" s="9" t="s">
        <v>19</v>
      </c>
      <c r="G7" s="12" t="s">
        <v>31</v>
      </c>
      <c r="H7" s="9" t="s">
        <v>21</v>
      </c>
      <c r="I7" s="9">
        <v>5.0</v>
      </c>
      <c r="J7" s="10">
        <v>45977.0</v>
      </c>
      <c r="K7" s="9" t="s">
        <v>22</v>
      </c>
      <c r="L7" s="9" t="s">
        <v>23</v>
      </c>
      <c r="M7" s="9" t="s">
        <v>32</v>
      </c>
      <c r="N7" s="9" t="s">
        <v>25</v>
      </c>
      <c r="O7" s="9" t="s">
        <v>33</v>
      </c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75.75" customHeight="1">
      <c r="A8" s="1"/>
      <c r="B8" s="8" t="s">
        <v>34</v>
      </c>
      <c r="C8" s="9" t="s">
        <v>35</v>
      </c>
      <c r="D8" s="12" t="s">
        <v>36</v>
      </c>
      <c r="E8" s="9" t="s">
        <v>37</v>
      </c>
      <c r="F8" s="9" t="s">
        <v>38</v>
      </c>
      <c r="G8" s="12" t="s">
        <v>39</v>
      </c>
      <c r="H8" s="9" t="s">
        <v>21</v>
      </c>
      <c r="I8" s="9">
        <v>4.0</v>
      </c>
      <c r="J8" s="10">
        <v>45978.0</v>
      </c>
      <c r="K8" s="9" t="s">
        <v>22</v>
      </c>
      <c r="L8" s="9" t="s">
        <v>23</v>
      </c>
      <c r="M8" s="9" t="s">
        <v>40</v>
      </c>
      <c r="N8" s="9" t="s">
        <v>25</v>
      </c>
      <c r="O8" s="9" t="s">
        <v>41</v>
      </c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64.5" customHeight="1">
      <c r="A9" s="1"/>
      <c r="B9" s="8" t="s">
        <v>42</v>
      </c>
      <c r="C9" s="9" t="s">
        <v>43</v>
      </c>
      <c r="D9" s="9" t="s">
        <v>44</v>
      </c>
      <c r="E9" s="9" t="s">
        <v>45</v>
      </c>
      <c r="F9" s="9" t="s">
        <v>19</v>
      </c>
      <c r="G9" s="9" t="s">
        <v>46</v>
      </c>
      <c r="H9" s="9" t="s">
        <v>47</v>
      </c>
      <c r="I9" s="9">
        <v>6.0</v>
      </c>
      <c r="J9" s="10">
        <v>45979.0</v>
      </c>
      <c r="K9" s="9" t="s">
        <v>22</v>
      </c>
      <c r="L9" s="9" t="s">
        <v>23</v>
      </c>
      <c r="M9" s="11" t="s">
        <v>48</v>
      </c>
      <c r="N9" s="9"/>
      <c r="O9" s="9" t="s">
        <v>49</v>
      </c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61.5" customHeight="1">
      <c r="A10" s="1"/>
      <c r="B10" s="8" t="s">
        <v>50</v>
      </c>
      <c r="C10" s="9" t="s">
        <v>51</v>
      </c>
      <c r="D10" s="13" t="s">
        <v>52</v>
      </c>
      <c r="E10" s="9" t="s">
        <v>53</v>
      </c>
      <c r="F10" s="9" t="s">
        <v>19</v>
      </c>
      <c r="G10" s="12" t="s">
        <v>54</v>
      </c>
      <c r="H10" s="9" t="s">
        <v>55</v>
      </c>
      <c r="I10" s="9">
        <v>5.0</v>
      </c>
      <c r="J10" s="10">
        <v>45980.0</v>
      </c>
      <c r="K10" s="9" t="s">
        <v>22</v>
      </c>
      <c r="L10" s="9" t="s">
        <v>23</v>
      </c>
      <c r="M10" s="9" t="s">
        <v>56</v>
      </c>
      <c r="N10" s="9"/>
      <c r="O10" s="9" t="s">
        <v>57</v>
      </c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70.5" customHeight="1">
      <c r="A11" s="1"/>
      <c r="B11" s="8" t="s">
        <v>58</v>
      </c>
      <c r="C11" s="9" t="s">
        <v>59</v>
      </c>
      <c r="D11" s="12" t="s">
        <v>60</v>
      </c>
      <c r="E11" s="9" t="s">
        <v>61</v>
      </c>
      <c r="F11" s="9" t="s">
        <v>19</v>
      </c>
      <c r="G11" s="12" t="s">
        <v>62</v>
      </c>
      <c r="H11" s="9" t="s">
        <v>55</v>
      </c>
      <c r="I11" s="9">
        <v>5.0</v>
      </c>
      <c r="J11" s="10">
        <v>45981.0</v>
      </c>
      <c r="K11" s="9" t="s">
        <v>22</v>
      </c>
      <c r="L11" s="9" t="s">
        <v>23</v>
      </c>
      <c r="M11" s="9" t="s">
        <v>63</v>
      </c>
      <c r="N11" s="9"/>
      <c r="O11" s="9" t="s">
        <v>64</v>
      </c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61.5" customHeight="1">
      <c r="A12" s="1"/>
      <c r="B12" s="8" t="s">
        <v>65</v>
      </c>
      <c r="C12" s="9" t="s">
        <v>66</v>
      </c>
      <c r="D12" s="12" t="s">
        <v>67</v>
      </c>
      <c r="E12" s="9" t="s">
        <v>68</v>
      </c>
      <c r="F12" s="9" t="s">
        <v>19</v>
      </c>
      <c r="G12" s="12" t="s">
        <v>69</v>
      </c>
      <c r="H12" s="9" t="s">
        <v>55</v>
      </c>
      <c r="I12" s="9">
        <v>4.0</v>
      </c>
      <c r="J12" s="10">
        <v>45982.0</v>
      </c>
      <c r="K12" s="9" t="s">
        <v>22</v>
      </c>
      <c r="L12" s="9" t="s">
        <v>23</v>
      </c>
      <c r="M12" s="9" t="s">
        <v>70</v>
      </c>
      <c r="N12" s="14"/>
      <c r="O12" s="9" t="s">
        <v>71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58.5" customHeight="1">
      <c r="A13" s="1"/>
      <c r="B13" s="8" t="s">
        <v>72</v>
      </c>
      <c r="C13" s="9" t="s">
        <v>73</v>
      </c>
      <c r="D13" s="9" t="s">
        <v>74</v>
      </c>
      <c r="E13" s="9" t="s">
        <v>75</v>
      </c>
      <c r="F13" s="9" t="s">
        <v>19</v>
      </c>
      <c r="G13" s="12" t="s">
        <v>76</v>
      </c>
      <c r="H13" s="9" t="s">
        <v>77</v>
      </c>
      <c r="I13" s="9">
        <v>8.0</v>
      </c>
      <c r="J13" s="10">
        <v>45983.0</v>
      </c>
      <c r="K13" s="9" t="s">
        <v>22</v>
      </c>
      <c r="L13" s="9" t="s">
        <v>23</v>
      </c>
      <c r="M13" s="9" t="s">
        <v>78</v>
      </c>
      <c r="N13" s="14" t="s">
        <v>25</v>
      </c>
      <c r="O13" s="9" t="s">
        <v>79</v>
      </c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9.75" customHeight="1">
      <c r="A14" s="1"/>
      <c r="B14" s="8" t="s">
        <v>80</v>
      </c>
      <c r="C14" s="9" t="s">
        <v>81</v>
      </c>
      <c r="D14" s="9" t="s">
        <v>82</v>
      </c>
      <c r="E14" s="9" t="s">
        <v>83</v>
      </c>
      <c r="F14" s="9" t="s">
        <v>19</v>
      </c>
      <c r="G14" s="12" t="s">
        <v>84</v>
      </c>
      <c r="H14" s="9" t="s">
        <v>77</v>
      </c>
      <c r="I14" s="9">
        <v>6.0</v>
      </c>
      <c r="J14" s="10">
        <v>45984.0</v>
      </c>
      <c r="K14" s="9" t="s">
        <v>22</v>
      </c>
      <c r="L14" s="9" t="s">
        <v>23</v>
      </c>
      <c r="M14" s="9" t="s">
        <v>85</v>
      </c>
      <c r="N14" s="14" t="s">
        <v>25</v>
      </c>
      <c r="O14" s="9" t="s">
        <v>86</v>
      </c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72.0" customHeight="1">
      <c r="A15" s="1"/>
      <c r="B15" s="8" t="s">
        <v>87</v>
      </c>
      <c r="C15" s="9" t="s">
        <v>88</v>
      </c>
      <c r="D15" s="9" t="s">
        <v>89</v>
      </c>
      <c r="E15" s="9" t="s">
        <v>90</v>
      </c>
      <c r="F15" s="9" t="s">
        <v>19</v>
      </c>
      <c r="G15" s="12" t="s">
        <v>91</v>
      </c>
      <c r="H15" s="9" t="s">
        <v>77</v>
      </c>
      <c r="I15" s="9">
        <v>6.0</v>
      </c>
      <c r="J15" s="10">
        <v>45985.0</v>
      </c>
      <c r="K15" s="9" t="s">
        <v>22</v>
      </c>
      <c r="L15" s="9" t="s">
        <v>23</v>
      </c>
      <c r="M15" s="9" t="s">
        <v>92</v>
      </c>
      <c r="N15" s="14" t="s">
        <v>25</v>
      </c>
      <c r="O15" s="9" t="s">
        <v>93</v>
      </c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39.75" customHeight="1">
      <c r="A16" s="1"/>
      <c r="B16" s="8" t="s">
        <v>94</v>
      </c>
      <c r="C16" s="9" t="s">
        <v>95</v>
      </c>
      <c r="D16" s="9" t="s">
        <v>96</v>
      </c>
      <c r="E16" s="9" t="s">
        <v>97</v>
      </c>
      <c r="F16" s="9" t="s">
        <v>19</v>
      </c>
      <c r="G16" s="12" t="s">
        <v>98</v>
      </c>
      <c r="H16" s="9" t="s">
        <v>77</v>
      </c>
      <c r="I16" s="9">
        <v>5.0</v>
      </c>
      <c r="J16" s="10">
        <v>45986.0</v>
      </c>
      <c r="K16" s="9" t="s">
        <v>22</v>
      </c>
      <c r="L16" s="9" t="s">
        <v>23</v>
      </c>
      <c r="M16" s="9" t="s">
        <v>99</v>
      </c>
      <c r="N16" s="14" t="s">
        <v>25</v>
      </c>
      <c r="O16" s="9" t="s">
        <v>100</v>
      </c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39.75" customHeight="1">
      <c r="A17" s="1"/>
      <c r="B17" s="8" t="s">
        <v>101</v>
      </c>
      <c r="C17" s="9" t="s">
        <v>102</v>
      </c>
      <c r="D17" s="9" t="s">
        <v>103</v>
      </c>
      <c r="E17" s="9" t="s">
        <v>104</v>
      </c>
      <c r="F17" s="9" t="s">
        <v>19</v>
      </c>
      <c r="G17" s="12" t="s">
        <v>105</v>
      </c>
      <c r="H17" s="9" t="s">
        <v>77</v>
      </c>
      <c r="I17" s="9">
        <v>7.0</v>
      </c>
      <c r="J17" s="10">
        <v>45987.0</v>
      </c>
      <c r="K17" s="9" t="s">
        <v>22</v>
      </c>
      <c r="L17" s="9" t="s">
        <v>23</v>
      </c>
      <c r="M17" s="9" t="s">
        <v>106</v>
      </c>
      <c r="N17" s="14" t="s">
        <v>25</v>
      </c>
      <c r="O17" s="9" t="s">
        <v>107</v>
      </c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39.75" customHeight="1">
      <c r="A18" s="1"/>
      <c r="B18" s="8" t="s">
        <v>108</v>
      </c>
      <c r="C18" s="9" t="s">
        <v>109</v>
      </c>
      <c r="D18" s="9" t="s">
        <v>110</v>
      </c>
      <c r="E18" s="9" t="s">
        <v>111</v>
      </c>
      <c r="F18" s="9" t="s">
        <v>19</v>
      </c>
      <c r="G18" s="12" t="s">
        <v>112</v>
      </c>
      <c r="H18" s="9" t="s">
        <v>77</v>
      </c>
      <c r="I18" s="9">
        <v>8.0</v>
      </c>
      <c r="J18" s="10">
        <v>45988.0</v>
      </c>
      <c r="K18" s="9" t="s">
        <v>22</v>
      </c>
      <c r="L18" s="9" t="s">
        <v>23</v>
      </c>
      <c r="M18" s="9" t="s">
        <v>113</v>
      </c>
      <c r="N18" s="14" t="s">
        <v>25</v>
      </c>
      <c r="O18" s="9" t="s">
        <v>114</v>
      </c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8" t="s">
        <v>115</v>
      </c>
      <c r="C19" s="15" t="s">
        <v>116</v>
      </c>
      <c r="D19" s="15" t="s">
        <v>117</v>
      </c>
      <c r="E19" s="15" t="s">
        <v>118</v>
      </c>
      <c r="F19" s="15" t="s">
        <v>19</v>
      </c>
      <c r="G19" s="15" t="s">
        <v>119</v>
      </c>
      <c r="H19" s="9" t="s">
        <v>120</v>
      </c>
      <c r="I19" s="9">
        <v>10.0</v>
      </c>
      <c r="J19" s="10">
        <v>45989.0</v>
      </c>
      <c r="K19" s="9" t="s">
        <v>22</v>
      </c>
      <c r="L19" s="9" t="s">
        <v>23</v>
      </c>
      <c r="M19" s="16" t="s">
        <v>121</v>
      </c>
      <c r="N19" s="15" t="s">
        <v>25</v>
      </c>
      <c r="O19" s="17" t="s">
        <v>122</v>
      </c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/>
      <c r="B20" s="8" t="s">
        <v>123</v>
      </c>
      <c r="C20" s="15" t="s">
        <v>124</v>
      </c>
      <c r="D20" s="15" t="s">
        <v>125</v>
      </c>
      <c r="E20" s="15" t="s">
        <v>126</v>
      </c>
      <c r="F20" s="15" t="s">
        <v>38</v>
      </c>
      <c r="G20" s="15" t="s">
        <v>127</v>
      </c>
      <c r="H20" s="9" t="s">
        <v>120</v>
      </c>
      <c r="I20" s="9">
        <v>6.0</v>
      </c>
      <c r="J20" s="10">
        <v>45990.0</v>
      </c>
      <c r="K20" s="9" t="s">
        <v>22</v>
      </c>
      <c r="L20" s="9" t="s">
        <v>23</v>
      </c>
      <c r="M20" s="15" t="s">
        <v>128</v>
      </c>
      <c r="N20" s="15" t="s">
        <v>25</v>
      </c>
      <c r="O20" s="17" t="s">
        <v>129</v>
      </c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/>
      <c r="B21" s="8" t="s">
        <v>130</v>
      </c>
      <c r="C21" s="15" t="s">
        <v>131</v>
      </c>
      <c r="D21" s="15" t="s">
        <v>132</v>
      </c>
      <c r="E21" s="15" t="s">
        <v>133</v>
      </c>
      <c r="F21" s="15" t="s">
        <v>19</v>
      </c>
      <c r="G21" s="15" t="s">
        <v>134</v>
      </c>
      <c r="H21" s="9" t="s">
        <v>120</v>
      </c>
      <c r="I21" s="9">
        <v>8.0</v>
      </c>
      <c r="J21" s="10">
        <v>45991.0</v>
      </c>
      <c r="K21" s="9" t="s">
        <v>22</v>
      </c>
      <c r="L21" s="9" t="s">
        <v>23</v>
      </c>
      <c r="M21" s="15" t="s">
        <v>135</v>
      </c>
      <c r="N21" s="15" t="s">
        <v>25</v>
      </c>
      <c r="O21" s="17" t="s">
        <v>136</v>
      </c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/>
      <c r="B22" s="8" t="s">
        <v>137</v>
      </c>
      <c r="C22" s="15" t="s">
        <v>138</v>
      </c>
      <c r="D22" s="15" t="s">
        <v>139</v>
      </c>
      <c r="E22" s="15" t="s">
        <v>140</v>
      </c>
      <c r="F22" s="15" t="s">
        <v>19</v>
      </c>
      <c r="G22" s="15" t="s">
        <v>141</v>
      </c>
      <c r="H22" s="9" t="s">
        <v>120</v>
      </c>
      <c r="I22" s="9">
        <v>8.0</v>
      </c>
      <c r="J22" s="10">
        <v>45992.0</v>
      </c>
      <c r="K22" s="9" t="s">
        <v>22</v>
      </c>
      <c r="L22" s="9" t="s">
        <v>23</v>
      </c>
      <c r="M22" s="15" t="s">
        <v>142</v>
      </c>
      <c r="N22" s="15" t="s">
        <v>25</v>
      </c>
      <c r="O22" s="17" t="s">
        <v>143</v>
      </c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/>
      <c r="B23" s="8" t="s">
        <v>144</v>
      </c>
      <c r="C23" s="9" t="s">
        <v>145</v>
      </c>
      <c r="D23" s="9" t="s">
        <v>146</v>
      </c>
      <c r="E23" s="9" t="s">
        <v>147</v>
      </c>
      <c r="F23" s="9" t="s">
        <v>148</v>
      </c>
      <c r="G23" s="9" t="s">
        <v>149</v>
      </c>
      <c r="H23" s="9" t="s">
        <v>21</v>
      </c>
      <c r="I23" s="9">
        <v>16.0</v>
      </c>
      <c r="J23" s="10">
        <v>45993.0</v>
      </c>
      <c r="K23" s="9" t="s">
        <v>150</v>
      </c>
      <c r="L23" s="9" t="s">
        <v>23</v>
      </c>
      <c r="M23" s="11" t="s">
        <v>151</v>
      </c>
      <c r="N23" s="9" t="s">
        <v>25</v>
      </c>
      <c r="O23" s="9" t="s">
        <v>152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75.75" customHeight="1">
      <c r="A24" s="1"/>
      <c r="B24" s="8" t="s">
        <v>153</v>
      </c>
      <c r="C24" s="9" t="s">
        <v>154</v>
      </c>
      <c r="D24" s="9" t="s">
        <v>155</v>
      </c>
      <c r="E24" s="9" t="s">
        <v>156</v>
      </c>
      <c r="F24" s="9" t="s">
        <v>19</v>
      </c>
      <c r="G24" s="9" t="s">
        <v>157</v>
      </c>
      <c r="H24" s="9" t="s">
        <v>21</v>
      </c>
      <c r="I24" s="9">
        <v>12.0</v>
      </c>
      <c r="J24" s="10">
        <v>45994.0</v>
      </c>
      <c r="K24" s="9" t="s">
        <v>158</v>
      </c>
      <c r="L24" s="9" t="s">
        <v>23</v>
      </c>
      <c r="M24" s="11" t="s">
        <v>159</v>
      </c>
      <c r="N24" s="9" t="s">
        <v>25</v>
      </c>
      <c r="O24" s="9" t="s">
        <v>160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75.75" customHeight="1">
      <c r="A25" s="1"/>
      <c r="B25" s="8" t="s">
        <v>161</v>
      </c>
      <c r="C25" s="9" t="s">
        <v>162</v>
      </c>
      <c r="D25" s="9" t="s">
        <v>163</v>
      </c>
      <c r="E25" s="9" t="s">
        <v>164</v>
      </c>
      <c r="F25" s="9" t="s">
        <v>148</v>
      </c>
      <c r="G25" s="12" t="s">
        <v>165</v>
      </c>
      <c r="H25" s="9" t="s">
        <v>21</v>
      </c>
      <c r="I25" s="9">
        <v>20.0</v>
      </c>
      <c r="J25" s="10">
        <v>45995.0</v>
      </c>
      <c r="K25" s="9" t="s">
        <v>166</v>
      </c>
      <c r="L25" s="9" t="s">
        <v>23</v>
      </c>
      <c r="M25" s="11" t="s">
        <v>167</v>
      </c>
      <c r="N25" s="9" t="s">
        <v>25</v>
      </c>
      <c r="O25" s="9" t="s">
        <v>168</v>
      </c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75.75" customHeight="1">
      <c r="A26" s="1"/>
      <c r="B26" s="8" t="s">
        <v>169</v>
      </c>
      <c r="C26" s="9" t="s">
        <v>170</v>
      </c>
      <c r="D26" s="12" t="s">
        <v>171</v>
      </c>
      <c r="E26" s="9" t="s">
        <v>172</v>
      </c>
      <c r="F26" s="9" t="s">
        <v>19</v>
      </c>
      <c r="G26" s="12" t="s">
        <v>173</v>
      </c>
      <c r="H26" s="9" t="s">
        <v>120</v>
      </c>
      <c r="I26" s="9">
        <v>18.0</v>
      </c>
      <c r="J26" s="10">
        <v>45996.0</v>
      </c>
      <c r="K26" s="9" t="s">
        <v>150</v>
      </c>
      <c r="L26" s="9" t="s">
        <v>23</v>
      </c>
      <c r="M26" s="11" t="s">
        <v>174</v>
      </c>
      <c r="N26" s="9" t="s">
        <v>25</v>
      </c>
      <c r="O26" s="9" t="s">
        <v>175</v>
      </c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8" t="s">
        <v>176</v>
      </c>
      <c r="C27" s="9" t="s">
        <v>177</v>
      </c>
      <c r="D27" s="12" t="s">
        <v>178</v>
      </c>
      <c r="E27" s="9" t="s">
        <v>179</v>
      </c>
      <c r="F27" s="9" t="s">
        <v>19</v>
      </c>
      <c r="G27" s="12" t="s">
        <v>180</v>
      </c>
      <c r="H27" s="9" t="s">
        <v>120</v>
      </c>
      <c r="I27" s="9">
        <v>22.0</v>
      </c>
      <c r="J27" s="10">
        <v>45997.0</v>
      </c>
      <c r="K27" s="9" t="s">
        <v>166</v>
      </c>
      <c r="L27" s="9" t="s">
        <v>23</v>
      </c>
      <c r="M27" s="11" t="s">
        <v>181</v>
      </c>
      <c r="N27" s="9" t="s">
        <v>25</v>
      </c>
      <c r="O27" s="9" t="s">
        <v>182</v>
      </c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8" t="s">
        <v>183</v>
      </c>
      <c r="C28" s="9" t="s">
        <v>184</v>
      </c>
      <c r="D28" s="12" t="s">
        <v>185</v>
      </c>
      <c r="E28" s="9" t="s">
        <v>186</v>
      </c>
      <c r="F28" s="9" t="s">
        <v>187</v>
      </c>
      <c r="G28" s="12" t="s">
        <v>188</v>
      </c>
      <c r="H28" s="9" t="s">
        <v>120</v>
      </c>
      <c r="I28" s="9">
        <v>14.0</v>
      </c>
      <c r="J28" s="10">
        <v>45998.0</v>
      </c>
      <c r="K28" s="9" t="s">
        <v>166</v>
      </c>
      <c r="L28" s="9" t="s">
        <v>23</v>
      </c>
      <c r="M28" s="11" t="s">
        <v>189</v>
      </c>
      <c r="N28" s="9" t="s">
        <v>25</v>
      </c>
      <c r="O28" s="9" t="s">
        <v>190</v>
      </c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8" t="s">
        <v>191</v>
      </c>
      <c r="C29" s="9" t="s">
        <v>192</v>
      </c>
      <c r="D29" s="12" t="s">
        <v>193</v>
      </c>
      <c r="E29" s="9" t="s">
        <v>194</v>
      </c>
      <c r="F29" s="9" t="s">
        <v>19</v>
      </c>
      <c r="G29" s="12" t="s">
        <v>195</v>
      </c>
      <c r="H29" s="9" t="s">
        <v>77</v>
      </c>
      <c r="I29" s="9">
        <v>16.0</v>
      </c>
      <c r="J29" s="10">
        <v>45999.0</v>
      </c>
      <c r="K29" s="9" t="s">
        <v>150</v>
      </c>
      <c r="L29" s="9" t="s">
        <v>23</v>
      </c>
      <c r="M29" s="11" t="s">
        <v>196</v>
      </c>
      <c r="N29" s="9" t="s">
        <v>25</v>
      </c>
      <c r="O29" s="9" t="s">
        <v>197</v>
      </c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8" t="s">
        <v>198</v>
      </c>
      <c r="C30" s="9" t="s">
        <v>199</v>
      </c>
      <c r="D30" s="12" t="s">
        <v>200</v>
      </c>
      <c r="E30" s="9" t="s">
        <v>201</v>
      </c>
      <c r="F30" s="9" t="s">
        <v>148</v>
      </c>
      <c r="G30" s="12" t="s">
        <v>202</v>
      </c>
      <c r="H30" s="9" t="s">
        <v>77</v>
      </c>
      <c r="I30" s="9">
        <v>10.0</v>
      </c>
      <c r="J30" s="10">
        <v>46000.0</v>
      </c>
      <c r="K30" s="9" t="s">
        <v>150</v>
      </c>
      <c r="L30" s="9" t="s">
        <v>23</v>
      </c>
      <c r="M30" s="11" t="s">
        <v>203</v>
      </c>
      <c r="N30" s="9" t="s">
        <v>25</v>
      </c>
      <c r="O30" s="9" t="s">
        <v>204</v>
      </c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8" t="s">
        <v>205</v>
      </c>
      <c r="C31" s="9" t="s">
        <v>206</v>
      </c>
      <c r="D31" s="12" t="s">
        <v>207</v>
      </c>
      <c r="E31" s="9" t="s">
        <v>208</v>
      </c>
      <c r="F31" s="9" t="s">
        <v>148</v>
      </c>
      <c r="G31" s="12" t="s">
        <v>209</v>
      </c>
      <c r="H31" s="9" t="s">
        <v>77</v>
      </c>
      <c r="I31" s="9">
        <v>12.0</v>
      </c>
      <c r="J31" s="10">
        <v>46001.0</v>
      </c>
      <c r="K31" s="9" t="s">
        <v>150</v>
      </c>
      <c r="L31" s="9" t="s">
        <v>23</v>
      </c>
      <c r="M31" s="11" t="s">
        <v>210</v>
      </c>
      <c r="N31" s="9" t="s">
        <v>25</v>
      </c>
      <c r="O31" s="9" t="s">
        <v>211</v>
      </c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8" t="s">
        <v>212</v>
      </c>
      <c r="C32" s="9" t="s">
        <v>213</v>
      </c>
      <c r="D32" s="12" t="s">
        <v>214</v>
      </c>
      <c r="E32" s="9" t="s">
        <v>215</v>
      </c>
      <c r="F32" s="9" t="s">
        <v>38</v>
      </c>
      <c r="G32" s="12" t="s">
        <v>216</v>
      </c>
      <c r="H32" s="9" t="s">
        <v>55</v>
      </c>
      <c r="I32" s="9">
        <v>30.0</v>
      </c>
      <c r="J32" s="10">
        <v>46002.0</v>
      </c>
      <c r="K32" s="9" t="s">
        <v>166</v>
      </c>
      <c r="L32" s="9" t="s">
        <v>23</v>
      </c>
      <c r="M32" s="11" t="s">
        <v>217</v>
      </c>
      <c r="N32" s="9" t="s">
        <v>25</v>
      </c>
      <c r="O32" s="9" t="s">
        <v>218</v>
      </c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9.5" customHeight="1">
      <c r="A33" s="1"/>
      <c r="B33" s="18"/>
      <c r="C33" s="9"/>
      <c r="D33" s="12"/>
      <c r="E33" s="9"/>
      <c r="F33" s="9"/>
      <c r="G33" s="12"/>
      <c r="H33" s="9"/>
      <c r="I33" s="9"/>
      <c r="J33" s="10"/>
      <c r="K33" s="9"/>
      <c r="L33" s="9"/>
      <c r="M33" s="11"/>
      <c r="N33" s="9"/>
      <c r="O33" s="9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9.5" customHeight="1">
      <c r="A34" s="1"/>
      <c r="B34" s="19"/>
      <c r="C34" s="20"/>
      <c r="D34" s="21"/>
      <c r="E34" s="20"/>
      <c r="F34" s="20"/>
      <c r="G34" s="21"/>
      <c r="H34" s="20"/>
      <c r="I34" s="20"/>
      <c r="J34" s="22"/>
      <c r="K34" s="20"/>
      <c r="L34" s="20"/>
      <c r="M34" s="23"/>
      <c r="N34" s="20"/>
      <c r="O34" s="20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9.5" customHeight="1">
      <c r="A35" s="1"/>
      <c r="B35" s="19"/>
      <c r="C35" s="20"/>
      <c r="D35" s="21"/>
      <c r="E35" s="20"/>
      <c r="F35" s="20"/>
      <c r="G35" s="21"/>
      <c r="H35" s="20"/>
      <c r="I35" s="20"/>
      <c r="J35" s="22"/>
      <c r="K35" s="20"/>
      <c r="L35" s="20"/>
      <c r="M35" s="23"/>
      <c r="N35" s="20"/>
      <c r="O35" s="20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9.5" customHeight="1">
      <c r="A36" s="1"/>
      <c r="B36" s="19"/>
      <c r="C36" s="20"/>
      <c r="D36" s="21"/>
      <c r="E36" s="20"/>
      <c r="F36" s="20"/>
      <c r="G36" s="21"/>
      <c r="H36" s="20"/>
      <c r="I36" s="20"/>
      <c r="J36" s="22"/>
      <c r="K36" s="20"/>
      <c r="L36" s="20"/>
      <c r="M36" s="23"/>
      <c r="N36" s="20"/>
      <c r="O36" s="20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9.5" customHeight="1">
      <c r="A37" s="1"/>
      <c r="B37" s="19"/>
      <c r="C37" s="20"/>
      <c r="D37" s="21"/>
      <c r="E37" s="20"/>
      <c r="F37" s="20"/>
      <c r="G37" s="21"/>
      <c r="H37" s="20"/>
      <c r="I37" s="20"/>
      <c r="J37" s="22"/>
      <c r="K37" s="20"/>
      <c r="L37" s="20"/>
      <c r="M37" s="23"/>
      <c r="N37" s="20"/>
      <c r="O37" s="20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B38" s="19"/>
      <c r="C38" s="20"/>
      <c r="D38" s="21"/>
      <c r="E38" s="20"/>
      <c r="F38" s="20"/>
      <c r="G38" s="21"/>
      <c r="H38" s="20"/>
      <c r="I38" s="20"/>
      <c r="J38" s="22"/>
      <c r="K38" s="20"/>
      <c r="L38" s="20"/>
      <c r="M38" s="23"/>
      <c r="N38" s="20"/>
      <c r="O38" s="20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B39" s="19"/>
      <c r="C39" s="20"/>
      <c r="D39" s="21"/>
      <c r="E39" s="20"/>
      <c r="F39" s="20"/>
      <c r="G39" s="21"/>
      <c r="H39" s="20"/>
      <c r="I39" s="20"/>
      <c r="J39" s="22"/>
      <c r="K39" s="20"/>
      <c r="L39" s="20"/>
      <c r="M39" s="23"/>
      <c r="N39" s="20"/>
      <c r="O39" s="20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B40" s="19"/>
      <c r="C40" s="20"/>
      <c r="D40" s="21"/>
      <c r="E40" s="20"/>
      <c r="F40" s="20"/>
      <c r="G40" s="21"/>
      <c r="H40" s="20"/>
      <c r="I40" s="20"/>
      <c r="J40" s="22"/>
      <c r="K40" s="20"/>
      <c r="L40" s="20"/>
      <c r="M40" s="23"/>
      <c r="N40" s="20"/>
      <c r="O40" s="20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2"/>
      <c r="J41" s="2"/>
      <c r="K41" s="3"/>
      <c r="L41" s="2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2"/>
      <c r="J42" s="2"/>
      <c r="K42" s="3"/>
      <c r="L42" s="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2"/>
      <c r="J43" s="2"/>
      <c r="K43" s="3"/>
      <c r="L43" s="2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2"/>
      <c r="J44" s="2"/>
      <c r="K44" s="3"/>
      <c r="L44" s="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2"/>
      <c r="J45" s="2"/>
      <c r="K45" s="3"/>
      <c r="L45" s="2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2"/>
      <c r="J46" s="2"/>
      <c r="K46" s="3"/>
      <c r="L46" s="2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2"/>
      <c r="J47" s="2"/>
      <c r="K47" s="3"/>
      <c r="L47" s="2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2"/>
      <c r="J48" s="2"/>
      <c r="K48" s="3"/>
      <c r="L48" s="2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2"/>
      <c r="J49" s="2"/>
      <c r="K49" s="3"/>
      <c r="L49" s="2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2"/>
      <c r="J50" s="2"/>
      <c r="K50" s="3"/>
      <c r="L50" s="2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2"/>
      <c r="J51" s="2"/>
      <c r="K51" s="3"/>
      <c r="L51" s="2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2"/>
      <c r="J52" s="2"/>
      <c r="K52" s="3"/>
      <c r="L52" s="2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2"/>
      <c r="J53" s="2"/>
      <c r="K53" s="3"/>
      <c r="L53" s="2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2"/>
      <c r="J54" s="2"/>
      <c r="K54" s="3"/>
      <c r="L54" s="2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2"/>
      <c r="J55" s="2"/>
      <c r="K55" s="3"/>
      <c r="L55" s="2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2"/>
      <c r="J56" s="2"/>
      <c r="K56" s="3"/>
      <c r="L56" s="2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2"/>
      <c r="J57" s="2"/>
      <c r="K57" s="3"/>
      <c r="L57" s="2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2"/>
      <c r="J58" s="2"/>
      <c r="K58" s="3"/>
      <c r="L58" s="2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2"/>
      <c r="J59" s="2"/>
      <c r="K59" s="3"/>
      <c r="L59" s="2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2"/>
      <c r="J60" s="2"/>
      <c r="K60" s="3"/>
      <c r="L60" s="2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2"/>
      <c r="J61" s="2"/>
      <c r="K61" s="3"/>
      <c r="L61" s="2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2"/>
      <c r="J62" s="2"/>
      <c r="K62" s="3"/>
      <c r="L62" s="2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2"/>
      <c r="J63" s="2"/>
      <c r="K63" s="3"/>
      <c r="L63" s="2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2"/>
      <c r="J64" s="2"/>
      <c r="K64" s="3"/>
      <c r="L64" s="2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2"/>
      <c r="J65" s="2"/>
      <c r="K65" s="3"/>
      <c r="L65" s="2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2"/>
      <c r="J66" s="2"/>
      <c r="K66" s="3"/>
      <c r="L66" s="2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2"/>
      <c r="J67" s="2"/>
      <c r="K67" s="3"/>
      <c r="L67" s="2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2"/>
      <c r="J68" s="2"/>
      <c r="K68" s="3"/>
      <c r="L68" s="2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2"/>
      <c r="J69" s="2"/>
      <c r="K69" s="3"/>
      <c r="L69" s="2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2"/>
      <c r="J70" s="2"/>
      <c r="K70" s="3"/>
      <c r="L70" s="2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2"/>
      <c r="J71" s="2"/>
      <c r="K71" s="3"/>
      <c r="L71" s="2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2"/>
      <c r="J72" s="2"/>
      <c r="K72" s="3"/>
      <c r="L72" s="2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2"/>
      <c r="J73" s="2"/>
      <c r="K73" s="3"/>
      <c r="L73" s="2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2"/>
      <c r="J74" s="2"/>
      <c r="K74" s="3"/>
      <c r="L74" s="2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2"/>
      <c r="J75" s="2"/>
      <c r="K75" s="3"/>
      <c r="L75" s="2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2"/>
      <c r="J76" s="2"/>
      <c r="K76" s="3"/>
      <c r="L76" s="2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2"/>
      <c r="J77" s="2"/>
      <c r="K77" s="3"/>
      <c r="L77" s="2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2"/>
      <c r="J78" s="2"/>
      <c r="K78" s="3"/>
      <c r="L78" s="2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2"/>
      <c r="J79" s="2"/>
      <c r="K79" s="3"/>
      <c r="L79" s="2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2"/>
      <c r="J80" s="2"/>
      <c r="K80" s="3"/>
      <c r="L80" s="2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2"/>
      <c r="J81" s="2"/>
      <c r="K81" s="3"/>
      <c r="L81" s="2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2"/>
      <c r="J82" s="2"/>
      <c r="K82" s="3"/>
      <c r="L82" s="2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2"/>
      <c r="J83" s="2"/>
      <c r="K83" s="3"/>
      <c r="L83" s="2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2"/>
      <c r="J84" s="2"/>
      <c r="K84" s="3"/>
      <c r="L84" s="2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2"/>
      <c r="J85" s="2"/>
      <c r="K85" s="3"/>
      <c r="L85" s="2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2"/>
      <c r="J86" s="2"/>
      <c r="K86" s="3"/>
      <c r="L86" s="2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2"/>
      <c r="J87" s="2"/>
      <c r="K87" s="3"/>
      <c r="L87" s="2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2"/>
      <c r="J88" s="2"/>
      <c r="K88" s="3"/>
      <c r="L88" s="2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2"/>
      <c r="J89" s="2"/>
      <c r="K89" s="3"/>
      <c r="L89" s="2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2"/>
      <c r="J90" s="2"/>
      <c r="K90" s="3"/>
      <c r="L90" s="2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2"/>
      <c r="J91" s="2"/>
      <c r="K91" s="3"/>
      <c r="L91" s="2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2"/>
      <c r="J92" s="2"/>
      <c r="K92" s="3"/>
      <c r="L92" s="2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2"/>
      <c r="J93" s="2"/>
      <c r="K93" s="3"/>
      <c r="L93" s="2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2"/>
      <c r="J94" s="2"/>
      <c r="K94" s="3"/>
      <c r="L94" s="2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2"/>
      <c r="J95" s="2"/>
      <c r="K95" s="3"/>
      <c r="L95" s="2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2"/>
      <c r="J96" s="2"/>
      <c r="K96" s="3"/>
      <c r="L96" s="2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2"/>
      <c r="J97" s="2"/>
      <c r="K97" s="3"/>
      <c r="L97" s="2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2"/>
      <c r="J98" s="2"/>
      <c r="K98" s="3"/>
      <c r="L98" s="2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2"/>
      <c r="J99" s="2"/>
      <c r="K99" s="3"/>
      <c r="L99" s="2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2"/>
      <c r="J100" s="2"/>
      <c r="K100" s="3"/>
      <c r="L100" s="2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2"/>
      <c r="J101" s="2"/>
      <c r="K101" s="3"/>
      <c r="L101" s="2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2"/>
      <c r="J102" s="2"/>
      <c r="K102" s="3"/>
      <c r="L102" s="2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2"/>
      <c r="J103" s="2"/>
      <c r="K103" s="3"/>
      <c r="L103" s="2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2"/>
      <c r="J104" s="2"/>
      <c r="K104" s="3"/>
      <c r="L104" s="2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2"/>
      <c r="J105" s="2"/>
      <c r="K105" s="3"/>
      <c r="L105" s="2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2"/>
      <c r="J106" s="2"/>
      <c r="K106" s="3"/>
      <c r="L106" s="2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2"/>
      <c r="J107" s="2"/>
      <c r="K107" s="3"/>
      <c r="L107" s="2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2"/>
      <c r="J108" s="2"/>
      <c r="K108" s="3"/>
      <c r="L108" s="2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2"/>
      <c r="J109" s="2"/>
      <c r="K109" s="3"/>
      <c r="L109" s="2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2"/>
      <c r="J110" s="2"/>
      <c r="K110" s="3"/>
      <c r="L110" s="2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2"/>
      <c r="J111" s="2"/>
      <c r="K111" s="3"/>
      <c r="L111" s="2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2"/>
      <c r="J112" s="2"/>
      <c r="K112" s="3"/>
      <c r="L112" s="2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2"/>
      <c r="J113" s="2"/>
      <c r="K113" s="3"/>
      <c r="L113" s="2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2"/>
      <c r="J114" s="2"/>
      <c r="K114" s="3"/>
      <c r="L114" s="2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2"/>
      <c r="J115" s="2"/>
      <c r="K115" s="3"/>
      <c r="L115" s="2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2"/>
      <c r="J116" s="2"/>
      <c r="K116" s="3"/>
      <c r="L116" s="2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2"/>
      <c r="J117" s="2"/>
      <c r="K117" s="3"/>
      <c r="L117" s="2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2"/>
      <c r="J118" s="2"/>
      <c r="K118" s="3"/>
      <c r="L118" s="2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2"/>
      <c r="J119" s="2"/>
      <c r="K119" s="3"/>
      <c r="L119" s="2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2"/>
      <c r="J120" s="2"/>
      <c r="K120" s="3"/>
      <c r="L120" s="2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2"/>
      <c r="J121" s="2"/>
      <c r="K121" s="3"/>
      <c r="L121" s="2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2"/>
      <c r="J122" s="2"/>
      <c r="K122" s="3"/>
      <c r="L122" s="2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2"/>
      <c r="J123" s="2"/>
      <c r="K123" s="3"/>
      <c r="L123" s="2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2"/>
      <c r="J124" s="2"/>
      <c r="K124" s="3"/>
      <c r="L124" s="2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2"/>
      <c r="J125" s="2"/>
      <c r="K125" s="3"/>
      <c r="L125" s="2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2"/>
      <c r="J126" s="2"/>
      <c r="K126" s="3"/>
      <c r="L126" s="2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2"/>
      <c r="J127" s="2"/>
      <c r="K127" s="3"/>
      <c r="L127" s="2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2"/>
      <c r="J128" s="2"/>
      <c r="K128" s="3"/>
      <c r="L128" s="2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2"/>
      <c r="J129" s="2"/>
      <c r="K129" s="3"/>
      <c r="L129" s="2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2"/>
      <c r="J130" s="2"/>
      <c r="K130" s="3"/>
      <c r="L130" s="2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2"/>
      <c r="J131" s="2"/>
      <c r="K131" s="3"/>
      <c r="L131" s="2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2"/>
      <c r="J132" s="2"/>
      <c r="K132" s="3"/>
      <c r="L132" s="2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2"/>
      <c r="J133" s="2"/>
      <c r="K133" s="3"/>
      <c r="L133" s="2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2"/>
      <c r="J134" s="2"/>
      <c r="K134" s="3"/>
      <c r="L134" s="2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2"/>
      <c r="J135" s="2"/>
      <c r="K135" s="3"/>
      <c r="L135" s="2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2"/>
      <c r="J136" s="2"/>
      <c r="K136" s="3"/>
      <c r="L136" s="2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2"/>
      <c r="J137" s="2"/>
      <c r="K137" s="3"/>
      <c r="L137" s="2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2"/>
      <c r="J138" s="2"/>
      <c r="K138" s="3"/>
      <c r="L138" s="2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2"/>
      <c r="J139" s="2"/>
      <c r="K139" s="3"/>
      <c r="L139" s="2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2"/>
      <c r="J140" s="2"/>
      <c r="K140" s="3"/>
      <c r="L140" s="2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2"/>
      <c r="J141" s="2"/>
      <c r="K141" s="3"/>
      <c r="L141" s="2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2"/>
      <c r="J142" s="2"/>
      <c r="K142" s="3"/>
      <c r="L142" s="2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2"/>
      <c r="J143" s="2"/>
      <c r="K143" s="3"/>
      <c r="L143" s="2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2"/>
      <c r="J144" s="2"/>
      <c r="K144" s="3"/>
      <c r="L144" s="2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2"/>
      <c r="J145" s="2"/>
      <c r="K145" s="3"/>
      <c r="L145" s="2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2"/>
      <c r="J146" s="2"/>
      <c r="K146" s="3"/>
      <c r="L146" s="2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2"/>
      <c r="J147" s="2"/>
      <c r="K147" s="3"/>
      <c r="L147" s="2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2"/>
      <c r="J148" s="2"/>
      <c r="K148" s="3"/>
      <c r="L148" s="2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2"/>
      <c r="J149" s="2"/>
      <c r="K149" s="3"/>
      <c r="L149" s="2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2"/>
      <c r="J150" s="2"/>
      <c r="K150" s="3"/>
      <c r="L150" s="2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2"/>
      <c r="J151" s="2"/>
      <c r="K151" s="3"/>
      <c r="L151" s="2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2"/>
      <c r="J152" s="2"/>
      <c r="K152" s="3"/>
      <c r="L152" s="2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2"/>
      <c r="J153" s="2"/>
      <c r="K153" s="3"/>
      <c r="L153" s="2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2"/>
      <c r="J154" s="2"/>
      <c r="K154" s="3"/>
      <c r="L154" s="2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2"/>
      <c r="J155" s="2"/>
      <c r="K155" s="3"/>
      <c r="L155" s="2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2"/>
      <c r="J156" s="2"/>
      <c r="K156" s="3"/>
      <c r="L156" s="2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2"/>
      <c r="J157" s="2"/>
      <c r="K157" s="3"/>
      <c r="L157" s="2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2"/>
      <c r="J158" s="2"/>
      <c r="K158" s="3"/>
      <c r="L158" s="2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2"/>
      <c r="J159" s="2"/>
      <c r="K159" s="3"/>
      <c r="L159" s="2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2"/>
      <c r="J160" s="2"/>
      <c r="K160" s="3"/>
      <c r="L160" s="2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2"/>
      <c r="J161" s="2"/>
      <c r="K161" s="3"/>
      <c r="L161" s="2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2"/>
      <c r="J162" s="2"/>
      <c r="K162" s="3"/>
      <c r="L162" s="2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2"/>
      <c r="J163" s="2"/>
      <c r="K163" s="3"/>
      <c r="L163" s="2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2"/>
      <c r="J164" s="2"/>
      <c r="K164" s="3"/>
      <c r="L164" s="2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2"/>
      <c r="J165" s="2"/>
      <c r="K165" s="3"/>
      <c r="L165" s="2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2"/>
      <c r="J166" s="2"/>
      <c r="K166" s="3"/>
      <c r="L166" s="2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2"/>
      <c r="J167" s="2"/>
      <c r="K167" s="3"/>
      <c r="L167" s="2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2"/>
      <c r="J168" s="2"/>
      <c r="K168" s="3"/>
      <c r="L168" s="2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2"/>
      <c r="J169" s="2"/>
      <c r="K169" s="3"/>
      <c r="L169" s="2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2"/>
      <c r="J170" s="2"/>
      <c r="K170" s="3"/>
      <c r="L170" s="2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2"/>
      <c r="J171" s="2"/>
      <c r="K171" s="3"/>
      <c r="L171" s="2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2"/>
      <c r="J172" s="2"/>
      <c r="K172" s="3"/>
      <c r="L172" s="2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2"/>
      <c r="J173" s="2"/>
      <c r="K173" s="3"/>
      <c r="L173" s="2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2"/>
      <c r="J174" s="2"/>
      <c r="K174" s="3"/>
      <c r="L174" s="2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2"/>
      <c r="J175" s="2"/>
      <c r="K175" s="3"/>
      <c r="L175" s="2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2"/>
      <c r="J176" s="2"/>
      <c r="K176" s="3"/>
      <c r="L176" s="2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2"/>
      <c r="J177" s="2"/>
      <c r="K177" s="3"/>
      <c r="L177" s="2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2"/>
      <c r="J178" s="2"/>
      <c r="K178" s="3"/>
      <c r="L178" s="2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2"/>
      <c r="J179" s="2"/>
      <c r="K179" s="3"/>
      <c r="L179" s="2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2"/>
      <c r="J180" s="2"/>
      <c r="K180" s="3"/>
      <c r="L180" s="2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2"/>
      <c r="J181" s="2"/>
      <c r="K181" s="3"/>
      <c r="L181" s="2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2"/>
      <c r="J182" s="2"/>
      <c r="K182" s="3"/>
      <c r="L182" s="2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2"/>
      <c r="J183" s="2"/>
      <c r="K183" s="3"/>
      <c r="L183" s="2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2"/>
      <c r="J184" s="2"/>
      <c r="K184" s="3"/>
      <c r="L184" s="2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2"/>
      <c r="J185" s="2"/>
      <c r="K185" s="3"/>
      <c r="L185" s="2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2"/>
      <c r="J186" s="2"/>
      <c r="K186" s="3"/>
      <c r="L186" s="2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2"/>
      <c r="J187" s="2"/>
      <c r="K187" s="3"/>
      <c r="L187" s="2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2"/>
      <c r="J188" s="2"/>
      <c r="K188" s="3"/>
      <c r="L188" s="2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2"/>
      <c r="J189" s="2"/>
      <c r="K189" s="3"/>
      <c r="L189" s="2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2"/>
      <c r="J190" s="2"/>
      <c r="K190" s="3"/>
      <c r="L190" s="2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2"/>
      <c r="J191" s="2"/>
      <c r="K191" s="3"/>
      <c r="L191" s="2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2"/>
      <c r="J192" s="2"/>
      <c r="K192" s="3"/>
      <c r="L192" s="2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2"/>
      <c r="J193" s="2"/>
      <c r="K193" s="3"/>
      <c r="L193" s="2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2"/>
      <c r="J194" s="2"/>
      <c r="K194" s="3"/>
      <c r="L194" s="2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2"/>
      <c r="J195" s="2"/>
      <c r="K195" s="3"/>
      <c r="L195" s="2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2"/>
      <c r="J196" s="2"/>
      <c r="K196" s="3"/>
      <c r="L196" s="2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2"/>
      <c r="J197" s="2"/>
      <c r="K197" s="3"/>
      <c r="L197" s="2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2"/>
      <c r="J198" s="2"/>
      <c r="K198" s="3"/>
      <c r="L198" s="2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2"/>
      <c r="J199" s="2"/>
      <c r="K199" s="3"/>
      <c r="L199" s="2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2"/>
      <c r="J200" s="2"/>
      <c r="K200" s="3"/>
      <c r="L200" s="2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2"/>
      <c r="J201" s="2"/>
      <c r="K201" s="3"/>
      <c r="L201" s="2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2"/>
      <c r="J202" s="2"/>
      <c r="K202" s="3"/>
      <c r="L202" s="2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2"/>
      <c r="J203" s="2"/>
      <c r="K203" s="3"/>
      <c r="L203" s="2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2"/>
      <c r="J204" s="2"/>
      <c r="K204" s="3"/>
      <c r="L204" s="2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2"/>
      <c r="J205" s="2"/>
      <c r="K205" s="3"/>
      <c r="L205" s="2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2"/>
      <c r="J206" s="2"/>
      <c r="K206" s="3"/>
      <c r="L206" s="2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2"/>
      <c r="J207" s="2"/>
      <c r="K207" s="3"/>
      <c r="L207" s="2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2"/>
      <c r="J208" s="2"/>
      <c r="K208" s="3"/>
      <c r="L208" s="2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2"/>
      <c r="J209" s="2"/>
      <c r="K209" s="3"/>
      <c r="L209" s="2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2"/>
      <c r="J210" s="2"/>
      <c r="K210" s="3"/>
      <c r="L210" s="2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2"/>
      <c r="J211" s="2"/>
      <c r="K211" s="3"/>
      <c r="L211" s="2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2"/>
      <c r="J212" s="2"/>
      <c r="K212" s="3"/>
      <c r="L212" s="2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2"/>
      <c r="J213" s="2"/>
      <c r="K213" s="3"/>
      <c r="L213" s="2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2"/>
      <c r="J214" s="2"/>
      <c r="K214" s="3"/>
      <c r="L214" s="2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2"/>
      <c r="J215" s="2"/>
      <c r="K215" s="3"/>
      <c r="L215" s="2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2"/>
      <c r="J216" s="2"/>
      <c r="K216" s="3"/>
      <c r="L216" s="2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2"/>
      <c r="J217" s="2"/>
      <c r="K217" s="3"/>
      <c r="L217" s="2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2"/>
      <c r="J218" s="2"/>
      <c r="K218" s="3"/>
      <c r="L218" s="2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2"/>
      <c r="J219" s="2"/>
      <c r="K219" s="3"/>
      <c r="L219" s="2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2"/>
      <c r="J220" s="2"/>
      <c r="K220" s="3"/>
      <c r="L220" s="2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2"/>
      <c r="J221" s="2"/>
      <c r="K221" s="3"/>
      <c r="L221" s="2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2"/>
      <c r="J222" s="2"/>
      <c r="K222" s="3"/>
      <c r="L222" s="2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2"/>
      <c r="J223" s="2"/>
      <c r="K223" s="3"/>
      <c r="L223" s="2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2"/>
      <c r="J224" s="2"/>
      <c r="K224" s="3"/>
      <c r="L224" s="2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2"/>
      <c r="J225" s="2"/>
      <c r="K225" s="3"/>
      <c r="L225" s="2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2"/>
      <c r="J226" s="2"/>
      <c r="K226" s="3"/>
      <c r="L226" s="2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2"/>
      <c r="J227" s="2"/>
      <c r="K227" s="3"/>
      <c r="L227" s="2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2"/>
      <c r="J228" s="2"/>
      <c r="K228" s="3"/>
      <c r="L228" s="2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2"/>
      <c r="J229" s="2"/>
      <c r="K229" s="3"/>
      <c r="L229" s="2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2"/>
      <c r="J230" s="2"/>
      <c r="K230" s="3"/>
      <c r="L230" s="2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2"/>
      <c r="J231" s="2"/>
      <c r="K231" s="3"/>
      <c r="L231" s="2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2"/>
      <c r="J232" s="2"/>
      <c r="K232" s="3"/>
      <c r="L232" s="2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2"/>
      <c r="J233" s="2"/>
      <c r="K233" s="3"/>
      <c r="L233" s="2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2"/>
      <c r="J234" s="2"/>
      <c r="K234" s="3"/>
      <c r="L234" s="2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2"/>
      <c r="J235" s="2"/>
      <c r="K235" s="3"/>
      <c r="L235" s="2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">
    <mergeCell ref="B3:O3"/>
  </mergeCells>
  <conditionalFormatting sqref="L6:L8 L10:L33">
    <cfRule type="colorScale" priority="1">
      <colorScale>
        <cfvo type="min"/>
        <cfvo type="max"/>
        <color rgb="FF57BB8A"/>
        <color rgb="FFFFFFFF"/>
      </colorScale>
    </cfRule>
  </conditionalFormatting>
  <conditionalFormatting sqref="L11:L18">
    <cfRule type="colorScale" priority="2">
      <colorScale>
        <cfvo type="min"/>
        <cfvo type="max"/>
        <color rgb="FF57BB8A"/>
        <color rgb="FFFFFFFF"/>
      </colorScale>
    </cfRule>
  </conditionalFormatting>
  <conditionalFormatting sqref="L9">
    <cfRule type="colorScale" priority="3">
      <colorScale>
        <cfvo type="min"/>
        <cfvo type="max"/>
        <color rgb="FF57BB8A"/>
        <color rgb="FFFFFFFF"/>
      </colorScale>
    </cfRule>
  </conditionalFormatting>
  <dataValidations>
    <dataValidation type="list" allowBlank="1" showErrorMessage="1" sqref="L6:L26 L33:L40">
      <formula1>$L$32:$L$35</formula1>
    </dataValidation>
    <dataValidation type="list" allowBlank="1" showErrorMessage="1" sqref="K6:K40">
      <formula1>$K$32:$K$34</formula1>
    </dataValidation>
  </dataValidations>
  <printOptions horizontalCentered="1"/>
  <pageMargins bottom="0.5511811023622047" footer="0.0" header="0.0" left="0.31496062992125984" right="0.31496062992125984" top="0.7480314960629921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9.38"/>
    <col customWidth="1" min="2" max="2" width="2.63"/>
    <col customWidth="1" min="3" max="15" width="10.63"/>
    <col customWidth="1" min="16" max="16" width="2.63"/>
    <col customWidth="1" min="17" max="26" width="9.38"/>
  </cols>
  <sheetData>
    <row r="2" ht="15.0" hidden="1" customHeight="1"/>
    <row r="3" ht="15.0" hidden="1" customHeight="1"/>
    <row r="4" hidden="1">
      <c r="C4" s="24"/>
      <c r="D4" s="24"/>
      <c r="E4" s="24"/>
      <c r="F4" s="25"/>
    </row>
    <row r="5" hidden="1">
      <c r="C5" s="24"/>
      <c r="D5" s="24"/>
      <c r="E5" s="24"/>
      <c r="F5" s="25"/>
    </row>
    <row r="6" ht="39.75" customHeight="1">
      <c r="B6" s="26" t="s">
        <v>219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6"/>
    </row>
    <row r="7" ht="9.75" customHeight="1">
      <c r="A7" s="27"/>
      <c r="B7" s="27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</row>
    <row r="8" ht="9.75" customHeight="1">
      <c r="B8" s="29"/>
      <c r="C8" s="30"/>
      <c r="D8" s="30"/>
      <c r="E8" s="30"/>
      <c r="F8" s="31"/>
      <c r="G8" s="32"/>
      <c r="H8" s="32"/>
      <c r="I8" s="32"/>
      <c r="J8" s="32"/>
      <c r="K8" s="32"/>
      <c r="L8" s="32"/>
      <c r="M8" s="32"/>
      <c r="N8" s="32"/>
      <c r="O8" s="32"/>
      <c r="P8" s="33"/>
      <c r="Q8" s="27"/>
    </row>
    <row r="9" ht="30.0" customHeight="1">
      <c r="B9" s="34"/>
      <c r="C9" s="35" t="s">
        <v>1</v>
      </c>
      <c r="D9" s="36"/>
      <c r="E9" s="37" t="s">
        <v>220</v>
      </c>
      <c r="F9" s="6"/>
      <c r="G9" s="36"/>
      <c r="H9" s="37" t="s">
        <v>11</v>
      </c>
      <c r="I9" s="6"/>
      <c r="J9" s="38"/>
      <c r="K9" s="38"/>
      <c r="L9" s="38"/>
      <c r="M9" s="38"/>
      <c r="N9" s="38"/>
      <c r="O9" s="38"/>
      <c r="P9" s="39"/>
      <c r="Q9" s="27"/>
    </row>
    <row r="10" ht="30.0" customHeight="1">
      <c r="B10" s="34"/>
      <c r="C10" s="40" t="s">
        <v>15</v>
      </c>
      <c r="D10" s="41"/>
      <c r="E10" s="42" t="str">
        <f>VLOOKUP(C10,'Formato descripción HU'!B6:O22,5,0)</f>
        <v>Propietario</v>
      </c>
      <c r="F10" s="6"/>
      <c r="G10" s="43"/>
      <c r="H10" s="42" t="str">
        <f>VLOOKUP(C10,'Formato descripción HU'!B6:O22,11,0)</f>
        <v>Pendiente</v>
      </c>
      <c r="I10" s="6"/>
      <c r="J10" s="43"/>
      <c r="K10" s="38"/>
      <c r="L10" s="38"/>
      <c r="M10" s="38"/>
      <c r="N10" s="38"/>
      <c r="O10" s="38"/>
      <c r="P10" s="39"/>
      <c r="Q10" s="27"/>
    </row>
    <row r="11" ht="9.75" customHeight="1">
      <c r="A11" s="27"/>
      <c r="B11" s="34"/>
      <c r="C11" s="44"/>
      <c r="D11" s="41"/>
      <c r="E11" s="45"/>
      <c r="F11" s="45"/>
      <c r="G11" s="43"/>
      <c r="H11" s="45"/>
      <c r="I11" s="45"/>
      <c r="J11" s="43"/>
      <c r="K11" s="45"/>
      <c r="L11" s="45"/>
      <c r="M11" s="38"/>
      <c r="N11" s="45"/>
      <c r="O11" s="45"/>
      <c r="P11" s="39"/>
      <c r="Q11" s="27"/>
      <c r="R11" s="27"/>
      <c r="S11" s="27"/>
      <c r="T11" s="27"/>
      <c r="U11" s="27"/>
      <c r="V11" s="27"/>
      <c r="W11" s="27"/>
      <c r="X11" s="27"/>
      <c r="Y11" s="27"/>
      <c r="Z11" s="27"/>
    </row>
    <row r="12" ht="30.0" customHeight="1">
      <c r="A12" s="27"/>
      <c r="B12" s="34"/>
      <c r="C12" s="35" t="s">
        <v>221</v>
      </c>
      <c r="D12" s="41"/>
      <c r="E12" s="37" t="s">
        <v>10</v>
      </c>
      <c r="F12" s="6"/>
      <c r="G12" s="43"/>
      <c r="H12" s="37" t="s">
        <v>222</v>
      </c>
      <c r="I12" s="6"/>
      <c r="J12" s="43"/>
      <c r="K12" s="45"/>
      <c r="L12" s="45"/>
      <c r="M12" s="38"/>
      <c r="N12" s="45"/>
      <c r="O12" s="45"/>
      <c r="P12" s="39"/>
      <c r="Q12" s="27"/>
      <c r="R12" s="27"/>
      <c r="S12" s="27"/>
      <c r="T12" s="27"/>
      <c r="U12" s="27"/>
      <c r="V12" s="27"/>
      <c r="W12" s="27"/>
      <c r="X12" s="27"/>
      <c r="Y12" s="27"/>
      <c r="Z12" s="27"/>
    </row>
    <row r="13" ht="30.0" customHeight="1">
      <c r="A13" s="27"/>
      <c r="B13" s="34"/>
      <c r="C13" s="46">
        <f>VLOOKUP('Historia de Usuario'!C10,'Formato descripción HU'!B6:O22,8,0)</f>
        <v>6</v>
      </c>
      <c r="D13" s="41"/>
      <c r="E13" s="42" t="str">
        <f>VLOOKUP(C10,'Formato descripción HU'!B6:O22,10,0)</f>
        <v>Alta/Esencial</v>
      </c>
      <c r="F13" s="6"/>
      <c r="G13" s="43"/>
      <c r="H13" s="42" t="str">
        <f>VLOOKUP(C10,'Formato descripción HU'!B6:O22,7,0)</f>
        <v>Camilo Orrico</v>
      </c>
      <c r="I13" s="6"/>
      <c r="J13" s="43"/>
      <c r="K13" s="45"/>
      <c r="L13" s="45"/>
      <c r="M13" s="38"/>
      <c r="N13" s="45"/>
      <c r="O13" s="45"/>
      <c r="P13" s="39"/>
      <c r="Q13" s="27"/>
      <c r="R13" s="27"/>
      <c r="S13" s="27"/>
      <c r="T13" s="27"/>
      <c r="U13" s="27"/>
      <c r="V13" s="27"/>
      <c r="W13" s="27"/>
      <c r="X13" s="27"/>
      <c r="Y13" s="27"/>
      <c r="Z13" s="27"/>
    </row>
    <row r="14" ht="9.75" customHeight="1">
      <c r="A14" s="27"/>
      <c r="B14" s="34"/>
      <c r="C14" s="38"/>
      <c r="D14" s="41"/>
      <c r="E14" s="38"/>
      <c r="F14" s="38"/>
      <c r="G14" s="43"/>
      <c r="H14" s="43"/>
      <c r="I14" s="38"/>
      <c r="J14" s="38"/>
      <c r="K14" s="38"/>
      <c r="L14" s="38"/>
      <c r="M14" s="38"/>
      <c r="N14" s="38"/>
      <c r="O14" s="38"/>
      <c r="P14" s="39"/>
      <c r="Q14" s="27"/>
      <c r="R14" s="27"/>
      <c r="S14" s="27"/>
      <c r="T14" s="27"/>
      <c r="U14" s="27"/>
      <c r="V14" s="27"/>
      <c r="W14" s="27"/>
      <c r="X14" s="27"/>
      <c r="Y14" s="27"/>
      <c r="Z14" s="27"/>
    </row>
    <row r="15" ht="19.5" customHeight="1">
      <c r="A15" s="27"/>
      <c r="B15" s="34"/>
      <c r="C15" s="47" t="s">
        <v>223</v>
      </c>
      <c r="D15" s="48" t="str">
        <f>VLOOKUP(C10,'Formato descripción HU'!B6:O22,3,0)</f>
        <v>Registrar los datos del producto: nombre, precio, stock</v>
      </c>
      <c r="E15" s="49"/>
      <c r="F15" s="50"/>
      <c r="G15" s="47" t="s">
        <v>224</v>
      </c>
      <c r="H15" s="48" t="str">
        <f>VLOOKUP(C10,'Formato descripción HU'!B6:O22,4,0)</f>
        <v>Para poder gestionar los productos y controlar su inventario</v>
      </c>
      <c r="I15" s="51"/>
      <c r="J15" s="49"/>
      <c r="K15" s="50"/>
      <c r="L15" s="47" t="s">
        <v>225</v>
      </c>
      <c r="M15" s="52" t="str">
        <f>VLOOKUP(C10,'Formato descripción HU'!B6:O22,6,0)</f>
        <v>Ingresar el nombre, precio, stock y otros datos del producto</v>
      </c>
      <c r="N15" s="51"/>
      <c r="O15" s="49"/>
      <c r="P15" s="39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 ht="19.5" customHeight="1">
      <c r="A16" s="27"/>
      <c r="B16" s="34"/>
      <c r="C16" s="53"/>
      <c r="D16" s="54"/>
      <c r="E16" s="55"/>
      <c r="F16" s="50"/>
      <c r="G16" s="53"/>
      <c r="H16" s="54"/>
      <c r="J16" s="55"/>
      <c r="K16" s="50"/>
      <c r="L16" s="53"/>
      <c r="M16" s="54"/>
      <c r="O16" s="55"/>
      <c r="P16" s="39"/>
      <c r="Q16" s="27"/>
      <c r="R16" s="27"/>
      <c r="S16" s="27"/>
      <c r="T16" s="27"/>
      <c r="U16" s="27"/>
      <c r="V16" s="27"/>
      <c r="W16" s="27"/>
      <c r="X16" s="27"/>
      <c r="Y16" s="27"/>
      <c r="Z16" s="27"/>
    </row>
    <row r="17" ht="19.5" customHeight="1">
      <c r="A17" s="27"/>
      <c r="B17" s="34"/>
      <c r="C17" s="56"/>
      <c r="D17" s="57"/>
      <c r="E17" s="58"/>
      <c r="F17" s="50"/>
      <c r="G17" s="56"/>
      <c r="H17" s="57"/>
      <c r="I17" s="59"/>
      <c r="J17" s="58"/>
      <c r="K17" s="50"/>
      <c r="L17" s="56"/>
      <c r="M17" s="57"/>
      <c r="N17" s="59"/>
      <c r="O17" s="58"/>
      <c r="P17" s="39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 ht="9.75" customHeight="1">
      <c r="A18" s="27"/>
      <c r="B18" s="34"/>
      <c r="C18" s="38"/>
      <c r="D18" s="38"/>
      <c r="E18" s="38"/>
      <c r="F18" s="38"/>
      <c r="G18" s="43"/>
      <c r="H18" s="43"/>
      <c r="I18" s="43"/>
      <c r="J18" s="38"/>
      <c r="K18" s="38"/>
      <c r="L18" s="38"/>
      <c r="M18" s="38"/>
      <c r="N18" s="38"/>
      <c r="O18" s="38"/>
      <c r="P18" s="39"/>
      <c r="Q18" s="27"/>
      <c r="R18" s="27"/>
      <c r="S18" s="27"/>
      <c r="T18" s="27"/>
      <c r="U18" s="27"/>
      <c r="V18" s="27"/>
      <c r="W18" s="27"/>
      <c r="X18" s="27"/>
      <c r="Y18" s="27"/>
      <c r="Z18" s="27"/>
    </row>
    <row r="19" ht="19.5" customHeight="1">
      <c r="B19" s="34"/>
      <c r="C19" s="60" t="s">
        <v>226</v>
      </c>
      <c r="D19" s="49"/>
      <c r="E19" s="61" t="str">
        <f>VLOOKUP(C10,'Formato descripción HU'!B6:O22,14,0)</f>
        <v>Registrar producto</v>
      </c>
      <c r="F19" s="62"/>
      <c r="G19" s="62"/>
      <c r="H19" s="62"/>
      <c r="I19" s="62"/>
      <c r="J19" s="62"/>
      <c r="K19" s="62"/>
      <c r="L19" s="62"/>
      <c r="M19" s="62"/>
      <c r="N19" s="62"/>
      <c r="O19" s="63"/>
      <c r="P19" s="39"/>
      <c r="Q19" s="27"/>
    </row>
    <row r="20" ht="19.5" customHeight="1">
      <c r="B20" s="34"/>
      <c r="C20" s="57"/>
      <c r="D20" s="58"/>
      <c r="E20" s="64"/>
      <c r="F20" s="65"/>
      <c r="G20" s="65"/>
      <c r="H20" s="65"/>
      <c r="I20" s="65"/>
      <c r="J20" s="65"/>
      <c r="K20" s="65"/>
      <c r="L20" s="65"/>
      <c r="M20" s="65"/>
      <c r="N20" s="65"/>
      <c r="O20" s="66"/>
      <c r="P20" s="39"/>
      <c r="Q20" s="27"/>
    </row>
    <row r="21" ht="9.75" customHeight="1">
      <c r="B21" s="34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9"/>
      <c r="Q21" s="27"/>
    </row>
    <row r="22" ht="19.5" customHeight="1">
      <c r="A22" s="27"/>
      <c r="B22" s="34"/>
      <c r="C22" s="67" t="s">
        <v>227</v>
      </c>
      <c r="D22" s="49"/>
      <c r="E22" s="68" t="str">
        <f>VLOOKUP(C10,'Formato descripción HU'!B6:O22,12,0)</f>
        <v>Verificar que los cambios se reflejen correctamente.</v>
      </c>
      <c r="F22" s="51"/>
      <c r="G22" s="51"/>
      <c r="H22" s="49"/>
      <c r="I22" s="38"/>
      <c r="J22" s="67" t="s">
        <v>13</v>
      </c>
      <c r="K22" s="49"/>
      <c r="L22" s="69" t="str">
        <f>VLOOKUP(C10,'Formato descripción HU'!B6:O22,13,0)</f>
        <v>—</v>
      </c>
      <c r="M22" s="51"/>
      <c r="N22" s="51"/>
      <c r="O22" s="49"/>
      <c r="P22" s="39"/>
      <c r="Q22" s="27"/>
      <c r="R22" s="27"/>
      <c r="S22" s="27"/>
      <c r="T22" s="27"/>
      <c r="U22" s="27"/>
      <c r="V22" s="27"/>
      <c r="W22" s="27"/>
      <c r="X22" s="27"/>
      <c r="Y22" s="27"/>
      <c r="Z22" s="27"/>
    </row>
    <row r="23" ht="19.5" customHeight="1">
      <c r="A23" s="27"/>
      <c r="B23" s="34"/>
      <c r="C23" s="54"/>
      <c r="D23" s="55"/>
      <c r="E23" s="54"/>
      <c r="H23" s="55"/>
      <c r="I23" s="38"/>
      <c r="J23" s="54"/>
      <c r="K23" s="55"/>
      <c r="L23" s="54"/>
      <c r="O23" s="55"/>
      <c r="P23" s="39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 ht="19.5" customHeight="1">
      <c r="A24" s="27"/>
      <c r="B24" s="34"/>
      <c r="C24" s="57"/>
      <c r="D24" s="58"/>
      <c r="E24" s="57"/>
      <c r="F24" s="59"/>
      <c r="G24" s="59"/>
      <c r="H24" s="58"/>
      <c r="I24" s="38"/>
      <c r="J24" s="57"/>
      <c r="K24" s="58"/>
      <c r="L24" s="57"/>
      <c r="M24" s="59"/>
      <c r="N24" s="59"/>
      <c r="O24" s="58"/>
      <c r="P24" s="39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 ht="9.75" customHeight="1">
      <c r="A25" s="27"/>
      <c r="B25" s="70"/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1"/>
      <c r="P25" s="72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 ht="19.5" customHeight="1">
      <c r="A26" s="27"/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 ht="19.5" customHeight="1">
      <c r="A27" s="27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</row>
    <row r="28" ht="19.5" customHeight="1">
      <c r="A28" s="27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</row>
    <row r="29" ht="19.5" customHeight="1">
      <c r="A29" s="27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</row>
    <row r="30" ht="19.5" customHeight="1">
      <c r="A30" s="27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</row>
    <row r="31" ht="19.5" customHeight="1">
      <c r="A31" s="27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</row>
    <row r="32" ht="19.5" customHeight="1">
      <c r="A32" s="27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</row>
    <row r="33" ht="19.5" customHeight="1">
      <c r="A33" s="27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</row>
    <row r="34" ht="19.5" customHeight="1"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</row>
    <row r="35" ht="19.5" customHeight="1"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</row>
    <row r="36" ht="19.5" customHeight="1"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</row>
    <row r="37" ht="19.5" customHeight="1"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</row>
    <row r="38" ht="19.5" customHeight="1"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</row>
    <row r="39" ht="19.5" customHeight="1"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</row>
    <row r="40" ht="19.5" customHeight="1"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</row>
    <row r="41" ht="19.5" customHeight="1"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</row>
    <row r="42" ht="19.5" customHeight="1"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</row>
    <row r="43" ht="19.5" customHeight="1"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</row>
    <row r="44" ht="19.5" customHeight="1"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</row>
    <row r="45" ht="19.5" customHeight="1"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</row>
    <row r="46" ht="19.5" customHeight="1"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</row>
    <row r="47" ht="19.5" customHeight="1">
      <c r="C47" s="27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</row>
    <row r="48" ht="19.5" customHeight="1">
      <c r="C48" s="27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</row>
    <row r="49" ht="19.5" customHeight="1">
      <c r="C49" s="27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</row>
    <row r="50" ht="19.5" customHeight="1">
      <c r="C50" s="27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</row>
    <row r="51" ht="19.5" customHeight="1">
      <c r="C51" s="27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</row>
    <row r="52" ht="19.5" customHeight="1">
      <c r="C52" s="27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</row>
    <row r="53" ht="19.5" customHeight="1"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</row>
    <row r="54" ht="19.5" customHeight="1"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</row>
    <row r="55" ht="15.75" customHeight="1">
      <c r="C55" s="27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1">
    <mergeCell ref="B6:P6"/>
    <mergeCell ref="E9:F9"/>
    <mergeCell ref="H9:I9"/>
    <mergeCell ref="E10:F10"/>
    <mergeCell ref="H10:I10"/>
    <mergeCell ref="E12:F12"/>
    <mergeCell ref="E13:F13"/>
    <mergeCell ref="C15:C17"/>
    <mergeCell ref="C19:D20"/>
    <mergeCell ref="C22:D24"/>
    <mergeCell ref="E22:H24"/>
    <mergeCell ref="J22:K24"/>
    <mergeCell ref="L22:O24"/>
    <mergeCell ref="H12:I12"/>
    <mergeCell ref="H13:I13"/>
    <mergeCell ref="D15:E17"/>
    <mergeCell ref="G15:G17"/>
    <mergeCell ref="H15:J17"/>
    <mergeCell ref="L15:L17"/>
    <mergeCell ref="M15:O17"/>
    <mergeCell ref="E19:O20"/>
  </mergeCells>
  <conditionalFormatting sqref="H10:I11">
    <cfRule type="cellIs" dxfId="0" priority="1" operator="equal">
      <formula>"Atrasado"</formula>
    </cfRule>
  </conditionalFormatting>
  <conditionalFormatting sqref="H10:I11">
    <cfRule type="cellIs" dxfId="1" priority="2" operator="equal">
      <formula>"Terminado"</formula>
    </cfRule>
  </conditionalFormatting>
  <conditionalFormatting sqref="H10:I11">
    <cfRule type="cellIs" dxfId="2" priority="3" operator="equal">
      <formula>"En proceso"</formula>
    </cfRule>
  </conditionalFormatting>
  <conditionalFormatting sqref="H10:I11">
    <cfRule type="cellIs" dxfId="1" priority="4" operator="equal">
      <formula>"No Iniciado"</formula>
    </cfRule>
  </conditionalFormatting>
  <dataValidations>
    <dataValidation type="list" allowBlank="1" showErrorMessage="1" sqref="C10:C11">
      <formula1>'Formato descripción HU'!$B$6:$B$22</formula1>
    </dataValidation>
  </dataValidations>
  <printOptions horizontalCentered="1"/>
  <pageMargins bottom="0.7480314960629921" footer="0.0" header="0.0" left="0.7086614173228347" right="0.7086614173228347" top="0.7480314960629921"/>
  <pageSetup paperSize="9" orientation="landscape"/>
  <drawing r:id="rId1"/>
</worksheet>
</file>