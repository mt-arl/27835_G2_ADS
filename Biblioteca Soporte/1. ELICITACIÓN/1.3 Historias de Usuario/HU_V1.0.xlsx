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5"/>
    <sheet state="visible" name="Historia de Usuario" sheetId="2" r:id="rId6"/>
  </sheets>
  <definedNames/>
  <calcPr/>
</workbook>
</file>

<file path=xl/sharedStrings.xml><?xml version="1.0" encoding="utf-8"?>
<sst xmlns="http://schemas.openxmlformats.org/spreadsheetml/2006/main" count="349" uniqueCount="227">
  <si>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</si>
  <si>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</si>
  <si>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</si>
  <si>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</si>
  <si>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</si>
  <si>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</si>
  <si>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</si>
  <si>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</si>
  <si>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</si>
  <si>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</si>
  <si>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</si>
  <si>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</si>
  <si>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</si>
  <si>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</si>
  <si>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</si>
  <si>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</si>
  <si>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sistema debe permitir registrar la información del producto</t>
  </si>
  <si>
    <t>Registrar los datos del producto: nombre, precio, stock</t>
  </si>
  <si>
    <t>Para poder gestionar los productos y controlar su inventario</t>
  </si>
  <si>
    <t>Propietario</t>
  </si>
  <si>
    <t>Ingresar el nombre, precio, stock y otros datos del producto</t>
  </si>
  <si>
    <t>Camilo Orrico</t>
  </si>
  <si>
    <t>Alta/Esencial</t>
  </si>
  <si>
    <t>Pendiente</t>
  </si>
  <si>
    <t>Verificar que los cambios se reflejen correctamente.</t>
  </si>
  <si>
    <t>—</t>
  </si>
  <si>
    <t>Registrar producto</t>
  </si>
  <si>
    <t>REQ002</t>
  </si>
  <si>
    <t>El sistema debe permitir generar reportes de ventas</t>
  </si>
  <si>
    <t>Generar reportes de ventas por fecha, cliente, y producto</t>
  </si>
  <si>
    <t>Para poder hacer un seguimiento de las ventas y el rendimiento</t>
  </si>
  <si>
    <t>Seleccionar filtros de fecha, cliente, y productos para generar el reporte</t>
  </si>
  <si>
    <t>Verificar que se muestre la lista completa y filtrada.</t>
  </si>
  <si>
    <t>Generar reportes de ventas</t>
  </si>
  <si>
    <t>REQ003</t>
  </si>
  <si>
    <t>El sistema debe permitir al cliente diseñar mezclas personalizadas</t>
  </si>
  <si>
    <t>Permitir a los clientes seleccionar productos y crear mezclas personalizadas</t>
  </si>
  <si>
    <t>Para ofrecer a los clientes una experiencia personalizada</t>
  </si>
  <si>
    <t>Cliente</t>
  </si>
  <si>
    <t>Seleccionar productos y cantidades para crear la mezcla</t>
  </si>
  <si>
    <t>Julio Viche</t>
  </si>
  <si>
    <t>Verificar que el producto se elimine del sistema.</t>
  </si>
  <si>
    <t>Diseñar mezcla personalizada</t>
  </si>
  <si>
    <t>REQ004</t>
  </si>
  <si>
    <t>El sistema debe permitir editar la información del producto</t>
  </si>
  <si>
    <t>Editar los datos de los productos registrados</t>
  </si>
  <si>
    <t>Para mantener actualizada la información de los productos</t>
  </si>
  <si>
    <t>Seleccionar el producto y modificar los campos necesarios</t>
  </si>
  <si>
    <t>Verificar creación exitosa en base de datos.</t>
  </si>
  <si>
    <t>Actualizar producto</t>
  </si>
  <si>
    <t>REQ005</t>
  </si>
  <si>
    <t>El sistema debe permitir eliminar productos del inventario</t>
  </si>
  <si>
    <t>Eliminar productos del inventario de forma lógica</t>
  </si>
  <si>
    <t>Para mantener el inventario actualizado y eliminar productos no disponibles</t>
  </si>
  <si>
    <t>Seleccionar el producto y confirmar la eliminación</t>
  </si>
  <si>
    <t>Verificar que los cambios se guarden correctamente.</t>
  </si>
  <si>
    <t>Eliminar producto</t>
  </si>
  <si>
    <t>REQ006</t>
  </si>
  <si>
    <t>El sistema debe permitir consultar los productos registrados</t>
  </si>
  <si>
    <t>Consultar los productos disponibles en el inventario</t>
  </si>
  <si>
    <t>Para ver los productos y sus detalles antes de realizar una venta o pedido</t>
  </si>
  <si>
    <t>Acceder a la lista de productos y seleccionar para ver más detalles</t>
  </si>
  <si>
    <t>Verificar resultados de búsqueda correctos.</t>
  </si>
  <si>
    <t>Consultar producto</t>
  </si>
  <si>
    <t>REQ007</t>
  </si>
  <si>
    <t>El sistema debe permitir registrar clientes</t>
  </si>
  <si>
    <t>Registrar nuevos clientes en la base de datos</t>
  </si>
  <si>
    <t>Para realizar pedidos y asociar clientes a ventas</t>
  </si>
  <si>
    <t>Ingresar los datos del cliente: nombre, identificación, correo electrónico</t>
  </si>
  <si>
    <t>Matias Lugmaña</t>
  </si>
  <si>
    <t>Verificar eliminación en la base de datos.</t>
  </si>
  <si>
    <t>Registrar cliente</t>
  </si>
  <si>
    <t>REQ008</t>
  </si>
  <si>
    <t>El sistema debe permitir editar la información de los clientes</t>
  </si>
  <si>
    <t>Editar los datos de los clientes registrados</t>
  </si>
  <si>
    <t>Para mantener actualizada la información de los clientes</t>
  </si>
  <si>
    <t>Seleccionar el cliente y modificar los datos</t>
  </si>
  <si>
    <t>Verificar registro y cálculo total correcto.</t>
  </si>
  <si>
    <t>Actualizar cliente</t>
  </si>
  <si>
    <t>REQ009</t>
  </si>
  <si>
    <t>El sistema debe permitir eliminar clientes del sistema</t>
  </si>
  <si>
    <t>Eliminar clientes registrados</t>
  </si>
  <si>
    <t>Para borrar clientes que ya no son necesarios</t>
  </si>
  <si>
    <t>Seleccionar el cliente y confirmar la eliminación</t>
  </si>
  <si>
    <t>Verificar actualización correcta del pedido.</t>
  </si>
  <si>
    <t>Eliminar cliente</t>
  </si>
  <si>
    <t>REQ010</t>
  </si>
  <si>
    <t>El sistema debe permitir crear pedidos</t>
  </si>
  <si>
    <t>Registrar nuevos pedidos con productos y clientes asociados</t>
  </si>
  <si>
    <t>Para procesar y gestionar las ventas</t>
  </si>
  <si>
    <t>Seleccionar cliente y productos, agregar cantidades y registrar el pedido</t>
  </si>
  <si>
    <t>Denise Rea</t>
  </si>
  <si>
    <t>Verificar que se muestre la información correcta.</t>
  </si>
  <si>
    <t>Registrar pedido</t>
  </si>
  <si>
    <t>REQ011</t>
  </si>
  <si>
    <t>El sistema debe permitir consultar pedidos</t>
  </si>
  <si>
    <t>Consultar detalles de los pedidos realizados</t>
  </si>
  <si>
    <t>Para revisar el estado de los pedidos y sus detalles</t>
  </si>
  <si>
    <t>Acceder a la lista de pedidos y ver el detalle del pedido seleccionado</t>
  </si>
  <si>
    <t>Verificar eliminación correcta del registro.</t>
  </si>
  <si>
    <t>Consultar pedido</t>
  </si>
  <si>
    <t>REQ012</t>
  </si>
  <si>
    <t>El sistema debe permitir actualizar el estado de los pedidos</t>
  </si>
  <si>
    <t>Actualizar el estado de un pedido (pendiente, en proceso, completado)</t>
  </si>
  <si>
    <t>Para gestionar el progreso de los pedidos</t>
  </si>
  <si>
    <t>Seleccionar el pedido y actualizar su estado</t>
  </si>
  <si>
    <t>Verificar transición correcta entre estados.</t>
  </si>
  <si>
    <t>Actualizar estado de pedido</t>
  </si>
  <si>
    <t>REQ013</t>
  </si>
  <si>
    <t>El sistema debe permitir eliminar pedidos</t>
  </si>
  <si>
    <t>Eliminar un pedido del sistema</t>
  </si>
  <si>
    <t>Para cancelar pedidos que ya no se desean procesar</t>
  </si>
  <si>
    <t>Seleccionar el pedido y confirmar la eliminación</t>
  </si>
  <si>
    <t>Verificar exportación y formato correcto.</t>
  </si>
  <si>
    <t>Eliminar pedido</t>
  </si>
  <si>
    <t>REQ014</t>
  </si>
  <si>
    <t>El sistema debe permitir generar reportes de pedidos</t>
  </si>
  <si>
    <t>Generar reportes con los pedidos realizados</t>
  </si>
  <si>
    <t>Para tener una visión general de las ventas y el estado de los pedidos</t>
  </si>
  <si>
    <t>Seleccionar los criterios para el reporte (fecha, cliente, estado)</t>
  </si>
  <si>
    <t>Verificar creación correcta de mezcla.</t>
  </si>
  <si>
    <t>Generar reporte de pedidos</t>
  </si>
  <si>
    <t>REQ015</t>
  </si>
  <si>
    <t>El sistema debe permitir calcular la información nutricional de mezclas personalizadas</t>
  </si>
  <si>
    <t>Calcular automáticamente la información nutricional de las mezclas</t>
  </si>
  <si>
    <t>Para proporcionar a los clientes los datos nutricionales de sus mezclas</t>
  </si>
  <si>
    <t>Seleccionar los productos y cantidades para la mezcla y obtener los datos nutricionales</t>
  </si>
  <si>
    <t>Verificar que las mezclas se carguen correctamente.</t>
  </si>
  <si>
    <t>Calcular datos nutricionales</t>
  </si>
  <si>
    <t>REQ016</t>
  </si>
  <si>
    <t>El sistema debe permitir exportar datos en Excel</t>
  </si>
  <si>
    <t>Exportar datos de pedidos y ventas a un archivo Excel</t>
  </si>
  <si>
    <t>Para generar reportes que se pueden analizar fuera del sistema</t>
  </si>
  <si>
    <t>Seleccionar los datos que se desean exportar y generar el archivo Excel</t>
  </si>
  <si>
    <t>Verificar guardado y recuperación posterior.</t>
  </si>
  <si>
    <t>Exportar datos en Excel</t>
  </si>
  <si>
    <t>REQ017</t>
  </si>
  <si>
    <t>El sistema debe permitir gestionar inventarios</t>
  </si>
  <si>
    <t>Controlar el stock de los productos disponibles</t>
  </si>
  <si>
    <t>Para evitar la venta de productos fuera de inventario</t>
  </si>
  <si>
    <t>Monitorear el stock de productos y realizar ajustes cuando sea necesario</t>
  </si>
  <si>
    <t>Comparar resultados nutricionales con valores esperados.</t>
  </si>
  <si>
    <t>Gestionar inventarios</t>
  </si>
  <si>
    <t>REQ018</t>
  </si>
  <si>
    <t>Sistema lento con muchos datos.</t>
  </si>
  <si>
    <t>Mejorar rendimiento.</t>
  </si>
  <si>
    <t>Acelerar respuestas al usuario.</t>
  </si>
  <si>
    <t>Propietario / Cliente</t>
  </si>
  <si>
    <t>Optimizar consultas y CRUD.</t>
  </si>
  <si>
    <t>Crítico</t>
  </si>
  <si>
    <t>Medir tiempos &lt;1 s en consultas.</t>
  </si>
  <si>
    <t>Rendimiento</t>
  </si>
  <si>
    <t>REQ019</t>
  </si>
  <si>
    <t>Sistema no disponible constantemente.</t>
  </si>
  <si>
    <t>Garantizar disponibilidad.</t>
  </si>
  <si>
    <t>Evitar interrupciones.</t>
  </si>
  <si>
    <t>Configurar disponibilidad 98 % y recuperación &lt;3 min.</t>
  </si>
  <si>
    <t>Obligatorio</t>
  </si>
  <si>
    <t>Simular caída y medir recuperación.</t>
  </si>
  <si>
    <t>Disponibilidad</t>
  </si>
  <si>
    <t>REQ020</t>
  </si>
  <si>
    <t>Interfaz poco amigable.</t>
  </si>
  <si>
    <t>Mejorar usabilidad.</t>
  </si>
  <si>
    <t>Hacer la app fácil de usar.</t>
  </si>
  <si>
    <t>Diseñar GUI intuitiva con validaciones.</t>
  </si>
  <si>
    <t>Importante</t>
  </si>
  <si>
    <t>Prueba de usuario y validación de formularios.</t>
  </si>
  <si>
    <t>Usabilidad</t>
  </si>
  <si>
    <t>REQ021</t>
  </si>
  <si>
    <t>Errores en datos manuales.</t>
  </si>
  <si>
    <t>Asegurar integridad de datos.</t>
  </si>
  <si>
    <t>Evitar duplicados y pérdida.</t>
  </si>
  <si>
    <t>Implementar validaciones y reglas.</t>
  </si>
  <si>
    <t>Probar integridad entre tablas.</t>
  </si>
  <si>
    <t>Integridad de Datos</t>
  </si>
  <si>
    <t>REQ022</t>
  </si>
  <si>
    <t>Sistema no escala con más registros.</t>
  </si>
  <si>
    <t>Permitir escalabilidad.</t>
  </si>
  <si>
    <t>Soportar más usuarios y registros.</t>
  </si>
  <si>
    <t>Diseñar arquitectura escalable en backend y BD.</t>
  </si>
  <si>
    <t>Ejecutar pruebas de carga y rendimiento.</t>
  </si>
  <si>
    <t>Escalabilidad</t>
  </si>
  <si>
    <t>REQ023</t>
  </si>
  <si>
    <t>Difícil mantenimiento del sistema.</t>
  </si>
  <si>
    <t>Mejorar mantenibilidad.</t>
  </si>
  <si>
    <t>Facilitar actualizaciones.</t>
  </si>
  <si>
    <t>Desarrollador</t>
  </si>
  <si>
    <t>Modularizar código y documentar.</t>
  </si>
  <si>
    <t>Validar facilidad de corrección.</t>
  </si>
  <si>
    <t>Mantenibilidad</t>
  </si>
  <si>
    <t>REQ024</t>
  </si>
  <si>
    <t>Riesgo de pérdida de datos.</t>
  </si>
  <si>
    <t>Implementar respaldo.</t>
  </si>
  <si>
    <t>Proteger información crítica.</t>
  </si>
  <si>
    <t>Configurar copias automáticas y restauración.</t>
  </si>
  <si>
    <t>Restaurar copia y validar datos.</t>
  </si>
  <si>
    <t>Respaldo y Recuperación</t>
  </si>
  <si>
    <t>REQ025</t>
  </si>
  <si>
    <t>Dependencia de un solo sistema operativo.</t>
  </si>
  <si>
    <t>Mejorar portabilidad.</t>
  </si>
  <si>
    <t>Funcionar en varios entornos.</t>
  </si>
  <si>
    <t>Usar tecnologías multiplataforma.</t>
  </si>
  <si>
    <t>Ejecutar pruebas en distintos SO.</t>
  </si>
  <si>
    <t>Portabilidad</t>
  </si>
  <si>
    <t>REQ026</t>
  </si>
  <si>
    <t>Cálculos erróneos manuales.</t>
  </si>
  <si>
    <t>Asegurar precisión.</t>
  </si>
  <si>
    <t>Mostrar resultados correctos.</t>
  </si>
  <si>
    <t>Validar fórmulas de precios y nutrición.</t>
  </si>
  <si>
    <t>Comparar resultados calculados.</t>
  </si>
  <si>
    <t>Precisión de Cálculos</t>
  </si>
  <si>
    <t>REQ027</t>
  </si>
  <si>
    <t>Sugerencias poco relevantes.</t>
  </si>
  <si>
    <t>Mejorar recomendaciones.</t>
  </si>
  <si>
    <t>Personalizar sugerencias.</t>
  </si>
  <si>
    <t>Analizar historial de mezclas y ofrecer sugerencias.</t>
  </si>
  <si>
    <t>Validar relevancia con usuarios.</t>
  </si>
  <si>
    <t>Calidad de Recomendación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</si>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</sst>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6">
    <font>
      <sz val="11.0"/>
      <color theme="1"/>
      <name val="Arial"/>
      <scheme val="minor"/>
    </font>
    <font>
      <sz val="11.0"/>
      <color theme="1"/>
      <name val="Arial Narrow"/>
    </font>
    <font>
      <b/>
      <i/>
      <sz val="16.0"/>
      <color theme="1"/>
      <name val="Arial Narrow"/>
    </font>
    <font/>
    <font>
      <b/>
      <i/>
      <sz val="11.0"/>
      <color rgb="FF9C6500"/>
      <name val="Arial Narrow"/>
    </font>
    <font>
      <sz val="10.0"/>
      <color theme="1"/>
      <name val="Arial Narrow"/>
    </font>
    <font>
      <sz val="10.0"/>
      <color rgb="FF000000"/>
      <name val="Arial Narrow"/>
    </font>
    <font>
      <color theme="1"/>
      <name val="Arial Narrow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sz val="11.0"/>
      <color theme="1"/>
      <name val="Arial"/>
    </font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164" xfId="0" applyAlignment="1" applyBorder="1" applyFont="1" applyNumberFormat="1">
      <alignment horizontal="center" readingOrder="0" shrinkToFit="0" vertical="center" wrapText="1"/>
    </xf>
    <xf borderId="4" fillId="0" fontId="5" numFmtId="49" xfId="0" applyAlignment="1" applyBorder="1" applyFont="1" applyNumberFormat="1">
      <alignment horizontal="center" readingOrder="0" shrinkToFit="0" vertical="center" wrapText="1"/>
    </xf>
    <xf borderId="4" fillId="4" fontId="6" numFmtId="0" xfId="0" applyAlignment="1" applyBorder="1" applyFill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readingOrder="0"/>
    </xf>
    <xf borderId="4" fillId="0" fontId="5" numFmtId="0" xfId="0" applyAlignment="1" applyBorder="1" applyFont="1">
      <alignment readingOrder="0" shrinkToFit="0" vertical="center" wrapText="1"/>
    </xf>
    <xf borderId="4" fillId="4" fontId="6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center" readingOrder="0" shrinkToFit="0" wrapText="1"/>
    </xf>
    <xf borderId="4" fillId="3" fontId="5" numFmtId="0" xfId="0" applyAlignment="1" applyBorder="1" applyFont="1">
      <alignment readingOrder="0" shrinkToFit="0" vertical="center" wrapText="1"/>
    </xf>
    <xf borderId="4" fillId="3" fontId="7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wrapText="1"/>
    </xf>
    <xf borderId="4" fillId="4" fontId="7" numFmtId="0" xfId="0" applyAlignment="1" applyBorder="1" applyFont="1">
      <alignment horizontal="center" shrinkToFit="0" wrapText="1"/>
    </xf>
    <xf borderId="4" fillId="0" fontId="7" numFmtId="164" xfId="0" applyAlignment="1" applyBorder="1" applyFont="1" applyNumberFormat="1">
      <alignment horizontal="center" shrinkToFit="0" wrapText="1"/>
    </xf>
    <xf borderId="4" fillId="0" fontId="7" numFmtId="49" xfId="0" applyAlignment="1" applyBorder="1" applyFont="1" applyNumberFormat="1">
      <alignment horizontal="center" shrinkToFit="0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Font="1"/>
    <xf borderId="1" fillId="5" fontId="10" numFmtId="0" xfId="0" applyAlignment="1" applyBorder="1" applyFill="1" applyFont="1">
      <alignment horizontal="center" shrinkToFit="0" vertical="center" wrapText="1"/>
    </xf>
    <xf borderId="0" fillId="0" fontId="11" numFmtId="0" xfId="0" applyFont="1"/>
    <xf borderId="0" fillId="0" fontId="8" numFmtId="0" xfId="0" applyAlignment="1" applyFont="1">
      <alignment horizontal="center" shrinkToFit="0" vertical="center" wrapText="1"/>
    </xf>
    <xf borderId="5" fillId="5" fontId="11" numFmtId="0" xfId="0" applyBorder="1" applyFont="1"/>
    <xf borderId="6" fillId="5" fontId="8" numFmtId="0" xfId="0" applyAlignment="1" applyBorder="1" applyFont="1">
      <alignment horizontal="left" shrinkToFit="0" vertical="center" wrapText="1"/>
    </xf>
    <xf borderId="6" fillId="5" fontId="9" numFmtId="0" xfId="0" applyBorder="1" applyFont="1"/>
    <xf borderId="6" fillId="5" fontId="11" numFmtId="0" xfId="0" applyBorder="1" applyFont="1"/>
    <xf borderId="7" fillId="5" fontId="11" numFmtId="0" xfId="0" applyBorder="1" applyFont="1"/>
    <xf borderId="8" fillId="5" fontId="11" numFmtId="0" xfId="0" applyBorder="1" applyFont="1"/>
    <xf borderId="4" fillId="6" fontId="12" numFmtId="0" xfId="0" applyAlignment="1" applyBorder="1" applyFill="1" applyFont="1">
      <alignment horizontal="center" vertical="center"/>
    </xf>
    <xf borderId="9" fillId="5" fontId="13" numFmtId="0" xfId="0" applyAlignment="1" applyBorder="1" applyFont="1">
      <alignment vertical="center"/>
    </xf>
    <xf borderId="1" fillId="6" fontId="12" numFmtId="0" xfId="0" applyAlignment="1" applyBorder="1" applyFont="1">
      <alignment horizontal="center" vertical="center"/>
    </xf>
    <xf borderId="9" fillId="5" fontId="11" numFmtId="0" xfId="0" applyBorder="1" applyFont="1"/>
    <xf borderId="10" fillId="5" fontId="11" numFmtId="0" xfId="0" applyBorder="1" applyFont="1"/>
    <xf borderId="4" fillId="7" fontId="14" numFmtId="0" xfId="0" applyAlignment="1" applyBorder="1" applyFill="1" applyFont="1">
      <alignment horizontal="center" readingOrder="0" vertical="center"/>
    </xf>
    <xf borderId="9" fillId="5" fontId="9" numFmtId="0" xfId="0" applyAlignment="1" applyBorder="1" applyFont="1">
      <alignment shrinkToFit="0" vertical="center" wrapText="1"/>
    </xf>
    <xf borderId="1" fillId="7" fontId="9" numFmtId="0" xfId="0" applyAlignment="1" applyBorder="1" applyFont="1">
      <alignment horizontal="center" vertical="center"/>
    </xf>
    <xf borderId="9" fillId="5" fontId="9" numFmtId="0" xfId="0" applyAlignment="1" applyBorder="1" applyFont="1">
      <alignment vertical="center"/>
    </xf>
    <xf borderId="9" fillId="5" fontId="14" numFmtId="0" xfId="0" applyAlignment="1" applyBorder="1" applyFont="1">
      <alignment horizontal="center" vertical="center"/>
    </xf>
    <xf borderId="9" fillId="5" fontId="9" numFmtId="0" xfId="0" applyAlignment="1" applyBorder="1" applyFont="1">
      <alignment horizontal="center" vertical="center"/>
    </xf>
    <xf borderId="4" fillId="7" fontId="14" numFmtId="0" xfId="0" applyAlignment="1" applyBorder="1" applyFont="1">
      <alignment horizontal="center" vertical="center"/>
    </xf>
    <xf borderId="11" fillId="8" fontId="12" numFmtId="0" xfId="0" applyAlignment="1" applyBorder="1" applyFill="1" applyFont="1">
      <alignment horizontal="center" vertical="center"/>
    </xf>
    <xf borderId="12" fillId="7" fontId="9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9" fillId="5" fontId="11" numFmtId="0" xfId="0" applyAlignment="1" applyBorder="1" applyFont="1">
      <alignment horizontal="center"/>
    </xf>
    <xf borderId="14" fillId="0" fontId="3" numFmtId="0" xfId="0" applyBorder="1" applyFont="1"/>
    <xf borderId="12" fillId="7" fontId="9" numFmtId="0" xfId="0" applyAlignment="1" applyBorder="1" applyFont="1">
      <alignment horizontal="left" vertical="center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12" fillId="9" fontId="15" numFmtId="0" xfId="0" applyAlignment="1" applyBorder="1" applyFill="1" applyFont="1">
      <alignment horizontal="center" vertical="center"/>
    </xf>
    <xf borderId="22" fillId="2" fontId="14" numFmtId="0" xfId="0" applyAlignment="1" applyBorder="1" applyFon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12" fillId="6" fontId="12" numFmtId="0" xfId="0" applyAlignment="1" applyBorder="1" applyFont="1">
      <alignment horizontal="center" vertical="center"/>
    </xf>
    <xf borderId="12" fillId="7" fontId="9" numFmtId="49" xfId="0" applyAlignment="1" applyBorder="1" applyFont="1" applyNumberFormat="1">
      <alignment horizontal="left" vertical="center"/>
    </xf>
    <xf borderId="12" fillId="7" fontId="9" numFmtId="0" xfId="0" applyAlignment="1" applyBorder="1" applyFont="1">
      <alignment horizontal="center" vertical="center"/>
    </xf>
    <xf borderId="28" fillId="5" fontId="11" numFmtId="0" xfId="0" applyBorder="1" applyFont="1"/>
    <xf borderId="29" fillId="5" fontId="11" numFmtId="0" xfId="0" applyBorder="1" applyFont="1"/>
    <xf borderId="30" fillId="5" fontId="11" numFmtId="0" xfId="0" applyBorder="1" applyFont="1"/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6.63"/>
    <col customWidth="1" min="3" max="5" width="20.63"/>
    <col customWidth="1" min="6" max="6" width="13.13"/>
    <col customWidth="1" min="7" max="7" width="32.5"/>
    <col customWidth="1" min="8" max="12" width="10.63"/>
    <col customWidth="1" min="13" max="13" width="32.75"/>
    <col customWidth="1" min="14" max="15" width="20.63"/>
    <col customWidth="1" min="16" max="26" width="9.3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0" customHeight="1">
      <c r="A3" s="1"/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0.0" customHeight="1">
      <c r="A5" s="1"/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5.75" customHeight="1">
      <c r="A6" s="1"/>
      <c r="B6" s="8" t="s">
        <v>15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20</v>
      </c>
      <c r="H6" s="9" t="s">
        <v>21</v>
      </c>
      <c r="I6" s="9">
        <v>6.0</v>
      </c>
      <c r="J6" s="10">
        <v>45976.0</v>
      </c>
      <c r="K6" s="9" t="s">
        <v>22</v>
      </c>
      <c r="L6" s="9" t="s">
        <v>23</v>
      </c>
      <c r="M6" s="11" t="s">
        <v>24</v>
      </c>
      <c r="N6" s="9" t="s">
        <v>25</v>
      </c>
      <c r="O6" s="9" t="s">
        <v>26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75.75" customHeight="1">
      <c r="A7" s="1"/>
      <c r="B7" s="8" t="s">
        <v>27</v>
      </c>
      <c r="C7" s="9" t="s">
        <v>28</v>
      </c>
      <c r="D7" s="9" t="s">
        <v>29</v>
      </c>
      <c r="E7" s="9" t="s">
        <v>30</v>
      </c>
      <c r="F7" s="9" t="s">
        <v>19</v>
      </c>
      <c r="G7" s="12" t="s">
        <v>31</v>
      </c>
      <c r="H7" s="9" t="s">
        <v>21</v>
      </c>
      <c r="I7" s="9">
        <v>5.0</v>
      </c>
      <c r="J7" s="10">
        <v>45977.0</v>
      </c>
      <c r="K7" s="9" t="s">
        <v>22</v>
      </c>
      <c r="L7" s="9" t="s">
        <v>23</v>
      </c>
      <c r="M7" s="9" t="s">
        <v>32</v>
      </c>
      <c r="N7" s="9" t="s">
        <v>25</v>
      </c>
      <c r="O7" s="9" t="s">
        <v>33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75.75" customHeight="1">
      <c r="A8" s="1"/>
      <c r="B8" s="8" t="s">
        <v>34</v>
      </c>
      <c r="C8" s="9" t="s">
        <v>35</v>
      </c>
      <c r="D8" s="12" t="s">
        <v>36</v>
      </c>
      <c r="E8" s="9" t="s">
        <v>37</v>
      </c>
      <c r="F8" s="9" t="s">
        <v>38</v>
      </c>
      <c r="G8" s="12" t="s">
        <v>39</v>
      </c>
      <c r="H8" s="9" t="s">
        <v>40</v>
      </c>
      <c r="I8" s="9">
        <v>4.0</v>
      </c>
      <c r="J8" s="10">
        <v>45978.0</v>
      </c>
      <c r="K8" s="9" t="s">
        <v>22</v>
      </c>
      <c r="L8" s="9" t="s">
        <v>23</v>
      </c>
      <c r="M8" s="9" t="s">
        <v>41</v>
      </c>
      <c r="N8" s="9" t="s">
        <v>25</v>
      </c>
      <c r="O8" s="9" t="s">
        <v>42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64.5" customHeight="1">
      <c r="A9" s="1"/>
      <c r="B9" s="8" t="s">
        <v>43</v>
      </c>
      <c r="C9" s="9" t="s">
        <v>44</v>
      </c>
      <c r="D9" s="9" t="s">
        <v>45</v>
      </c>
      <c r="E9" s="9" t="s">
        <v>46</v>
      </c>
      <c r="F9" s="9" t="s">
        <v>19</v>
      </c>
      <c r="G9" s="9" t="s">
        <v>47</v>
      </c>
      <c r="H9" s="9" t="s">
        <v>21</v>
      </c>
      <c r="I9" s="9">
        <v>6.0</v>
      </c>
      <c r="J9" s="10">
        <v>45979.0</v>
      </c>
      <c r="K9" s="9" t="s">
        <v>22</v>
      </c>
      <c r="L9" s="9" t="s">
        <v>23</v>
      </c>
      <c r="M9" s="11" t="s">
        <v>48</v>
      </c>
      <c r="N9" s="9"/>
      <c r="O9" s="9" t="s">
        <v>49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1.5" customHeight="1">
      <c r="A10" s="1"/>
      <c r="B10" s="8" t="s">
        <v>50</v>
      </c>
      <c r="C10" s="9" t="s">
        <v>51</v>
      </c>
      <c r="D10" s="13" t="s">
        <v>52</v>
      </c>
      <c r="E10" s="9" t="s">
        <v>53</v>
      </c>
      <c r="F10" s="9" t="s">
        <v>19</v>
      </c>
      <c r="G10" s="12" t="s">
        <v>54</v>
      </c>
      <c r="H10" s="9" t="s">
        <v>21</v>
      </c>
      <c r="I10" s="9">
        <v>5.0</v>
      </c>
      <c r="J10" s="10">
        <v>45980.0</v>
      </c>
      <c r="K10" s="9" t="s">
        <v>22</v>
      </c>
      <c r="L10" s="9" t="s">
        <v>23</v>
      </c>
      <c r="M10" s="9" t="s">
        <v>55</v>
      </c>
      <c r="N10" s="9"/>
      <c r="O10" s="9" t="s">
        <v>56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70.5" customHeight="1">
      <c r="A11" s="1"/>
      <c r="B11" s="8" t="s">
        <v>57</v>
      </c>
      <c r="C11" s="9" t="s">
        <v>58</v>
      </c>
      <c r="D11" s="12" t="s">
        <v>59</v>
      </c>
      <c r="E11" s="9" t="s">
        <v>60</v>
      </c>
      <c r="F11" s="9" t="s">
        <v>19</v>
      </c>
      <c r="G11" s="12" t="s">
        <v>61</v>
      </c>
      <c r="H11" s="9" t="s">
        <v>21</v>
      </c>
      <c r="I11" s="9">
        <v>5.0</v>
      </c>
      <c r="J11" s="10">
        <v>45981.0</v>
      </c>
      <c r="K11" s="9" t="s">
        <v>22</v>
      </c>
      <c r="L11" s="9" t="s">
        <v>23</v>
      </c>
      <c r="M11" s="9" t="s">
        <v>62</v>
      </c>
      <c r="N11" s="9"/>
      <c r="O11" s="9" t="s">
        <v>63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61.5" customHeight="1">
      <c r="A12" s="1"/>
      <c r="B12" s="8" t="s">
        <v>64</v>
      </c>
      <c r="C12" s="9" t="s">
        <v>65</v>
      </c>
      <c r="D12" s="12" t="s">
        <v>66</v>
      </c>
      <c r="E12" s="9" t="s">
        <v>67</v>
      </c>
      <c r="F12" s="9" t="s">
        <v>19</v>
      </c>
      <c r="G12" s="12" t="s">
        <v>68</v>
      </c>
      <c r="H12" s="9" t="s">
        <v>69</v>
      </c>
      <c r="I12" s="9">
        <v>4.0</v>
      </c>
      <c r="J12" s="10">
        <v>45982.0</v>
      </c>
      <c r="K12" s="9" t="s">
        <v>22</v>
      </c>
      <c r="L12" s="9" t="s">
        <v>23</v>
      </c>
      <c r="M12" s="9" t="s">
        <v>70</v>
      </c>
      <c r="N12" s="14"/>
      <c r="O12" s="9" t="s">
        <v>71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8.5" customHeight="1">
      <c r="A13" s="1"/>
      <c r="B13" s="8" t="s">
        <v>72</v>
      </c>
      <c r="C13" s="9" t="s">
        <v>73</v>
      </c>
      <c r="D13" s="9" t="s">
        <v>74</v>
      </c>
      <c r="E13" s="9" t="s">
        <v>75</v>
      </c>
      <c r="F13" s="9" t="s">
        <v>19</v>
      </c>
      <c r="G13" s="12" t="s">
        <v>76</v>
      </c>
      <c r="H13" s="9" t="s">
        <v>69</v>
      </c>
      <c r="I13" s="9">
        <v>8.0</v>
      </c>
      <c r="J13" s="10">
        <v>45983.0</v>
      </c>
      <c r="K13" s="9" t="s">
        <v>22</v>
      </c>
      <c r="L13" s="9" t="s">
        <v>23</v>
      </c>
      <c r="M13" s="9" t="s">
        <v>77</v>
      </c>
      <c r="N13" s="14" t="s">
        <v>25</v>
      </c>
      <c r="O13" s="9" t="s">
        <v>78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9.75" customHeight="1">
      <c r="A14" s="1"/>
      <c r="B14" s="8" t="s">
        <v>79</v>
      </c>
      <c r="C14" s="9" t="s">
        <v>80</v>
      </c>
      <c r="D14" s="9" t="s">
        <v>81</v>
      </c>
      <c r="E14" s="9" t="s">
        <v>82</v>
      </c>
      <c r="F14" s="9" t="s">
        <v>19</v>
      </c>
      <c r="G14" s="12" t="s">
        <v>83</v>
      </c>
      <c r="H14" s="9" t="s">
        <v>69</v>
      </c>
      <c r="I14" s="9">
        <v>6.0</v>
      </c>
      <c r="J14" s="10">
        <v>45984.0</v>
      </c>
      <c r="K14" s="9" t="s">
        <v>22</v>
      </c>
      <c r="L14" s="9" t="s">
        <v>23</v>
      </c>
      <c r="M14" s="9" t="s">
        <v>84</v>
      </c>
      <c r="N14" s="14" t="s">
        <v>25</v>
      </c>
      <c r="O14" s="9" t="s">
        <v>85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72.0" customHeight="1">
      <c r="A15" s="1"/>
      <c r="B15" s="8" t="s">
        <v>86</v>
      </c>
      <c r="C15" s="9" t="s">
        <v>87</v>
      </c>
      <c r="D15" s="9" t="s">
        <v>88</v>
      </c>
      <c r="E15" s="9" t="s">
        <v>89</v>
      </c>
      <c r="F15" s="9" t="s">
        <v>19</v>
      </c>
      <c r="G15" s="12" t="s">
        <v>90</v>
      </c>
      <c r="H15" s="9" t="s">
        <v>91</v>
      </c>
      <c r="I15" s="9">
        <v>6.0</v>
      </c>
      <c r="J15" s="10">
        <v>45985.0</v>
      </c>
      <c r="K15" s="9" t="s">
        <v>22</v>
      </c>
      <c r="L15" s="9" t="s">
        <v>23</v>
      </c>
      <c r="M15" s="9" t="s">
        <v>92</v>
      </c>
      <c r="N15" s="14" t="s">
        <v>25</v>
      </c>
      <c r="O15" s="9" t="s">
        <v>93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9.75" customHeight="1">
      <c r="A16" s="1"/>
      <c r="B16" s="8" t="s">
        <v>94</v>
      </c>
      <c r="C16" s="9" t="s">
        <v>95</v>
      </c>
      <c r="D16" s="9" t="s">
        <v>96</v>
      </c>
      <c r="E16" s="9" t="s">
        <v>97</v>
      </c>
      <c r="F16" s="9" t="s">
        <v>19</v>
      </c>
      <c r="G16" s="12" t="s">
        <v>98</v>
      </c>
      <c r="H16" s="9" t="s">
        <v>91</v>
      </c>
      <c r="I16" s="9">
        <v>5.0</v>
      </c>
      <c r="J16" s="10">
        <v>45986.0</v>
      </c>
      <c r="K16" s="9" t="s">
        <v>22</v>
      </c>
      <c r="L16" s="9" t="s">
        <v>23</v>
      </c>
      <c r="M16" s="9" t="s">
        <v>99</v>
      </c>
      <c r="N16" s="14" t="s">
        <v>25</v>
      </c>
      <c r="O16" s="9" t="s">
        <v>100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9.75" customHeight="1">
      <c r="A17" s="1"/>
      <c r="B17" s="8" t="s">
        <v>101</v>
      </c>
      <c r="C17" s="9" t="s">
        <v>102</v>
      </c>
      <c r="D17" s="9" t="s">
        <v>103</v>
      </c>
      <c r="E17" s="9" t="s">
        <v>104</v>
      </c>
      <c r="F17" s="9" t="s">
        <v>19</v>
      </c>
      <c r="G17" s="12" t="s">
        <v>105</v>
      </c>
      <c r="H17" s="9" t="s">
        <v>91</v>
      </c>
      <c r="I17" s="9">
        <v>7.0</v>
      </c>
      <c r="J17" s="10">
        <v>45987.0</v>
      </c>
      <c r="K17" s="9" t="s">
        <v>22</v>
      </c>
      <c r="L17" s="9" t="s">
        <v>23</v>
      </c>
      <c r="M17" s="9" t="s">
        <v>106</v>
      </c>
      <c r="N17" s="14" t="s">
        <v>25</v>
      </c>
      <c r="O17" s="9" t="s">
        <v>107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9.75" customHeight="1">
      <c r="A18" s="1"/>
      <c r="B18" s="8" t="s">
        <v>108</v>
      </c>
      <c r="C18" s="9" t="s">
        <v>109</v>
      </c>
      <c r="D18" s="9" t="s">
        <v>110</v>
      </c>
      <c r="E18" s="9" t="s">
        <v>111</v>
      </c>
      <c r="F18" s="9" t="s">
        <v>19</v>
      </c>
      <c r="G18" s="12" t="s">
        <v>112</v>
      </c>
      <c r="H18" s="9" t="s">
        <v>91</v>
      </c>
      <c r="I18" s="9">
        <v>8.0</v>
      </c>
      <c r="J18" s="10">
        <v>45988.0</v>
      </c>
      <c r="K18" s="9" t="s">
        <v>22</v>
      </c>
      <c r="L18" s="9" t="s">
        <v>23</v>
      </c>
      <c r="M18" s="9" t="s">
        <v>113</v>
      </c>
      <c r="N18" s="14" t="s">
        <v>25</v>
      </c>
      <c r="O18" s="9" t="s">
        <v>114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" t="s">
        <v>115</v>
      </c>
      <c r="C19" s="15" t="s">
        <v>116</v>
      </c>
      <c r="D19" s="15" t="s">
        <v>117</v>
      </c>
      <c r="E19" s="15" t="s">
        <v>118</v>
      </c>
      <c r="F19" s="15" t="s">
        <v>19</v>
      </c>
      <c r="G19" s="15" t="s">
        <v>119</v>
      </c>
      <c r="H19" s="9" t="s">
        <v>40</v>
      </c>
      <c r="I19" s="9">
        <v>10.0</v>
      </c>
      <c r="J19" s="10">
        <v>45989.0</v>
      </c>
      <c r="K19" s="9" t="s">
        <v>22</v>
      </c>
      <c r="L19" s="9" t="s">
        <v>23</v>
      </c>
      <c r="M19" s="16" t="s">
        <v>120</v>
      </c>
      <c r="N19" s="15" t="s">
        <v>25</v>
      </c>
      <c r="O19" s="17" t="s">
        <v>121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8" t="s">
        <v>122</v>
      </c>
      <c r="C20" s="15" t="s">
        <v>123</v>
      </c>
      <c r="D20" s="15" t="s">
        <v>124</v>
      </c>
      <c r="E20" s="15" t="s">
        <v>125</v>
      </c>
      <c r="F20" s="15" t="s">
        <v>38</v>
      </c>
      <c r="G20" s="15" t="s">
        <v>126</v>
      </c>
      <c r="H20" s="9" t="s">
        <v>40</v>
      </c>
      <c r="I20" s="9">
        <v>6.0</v>
      </c>
      <c r="J20" s="10">
        <v>45990.0</v>
      </c>
      <c r="K20" s="9" t="s">
        <v>22</v>
      </c>
      <c r="L20" s="9" t="s">
        <v>23</v>
      </c>
      <c r="M20" s="15" t="s">
        <v>127</v>
      </c>
      <c r="N20" s="15" t="s">
        <v>25</v>
      </c>
      <c r="O20" s="17" t="s">
        <v>128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" t="s">
        <v>129</v>
      </c>
      <c r="C21" s="15" t="s">
        <v>130</v>
      </c>
      <c r="D21" s="15" t="s">
        <v>131</v>
      </c>
      <c r="E21" s="15" t="s">
        <v>132</v>
      </c>
      <c r="F21" s="15" t="s">
        <v>19</v>
      </c>
      <c r="G21" s="15" t="s">
        <v>133</v>
      </c>
      <c r="H21" s="9" t="s">
        <v>40</v>
      </c>
      <c r="I21" s="9">
        <v>8.0</v>
      </c>
      <c r="J21" s="10">
        <v>45991.0</v>
      </c>
      <c r="K21" s="9" t="s">
        <v>22</v>
      </c>
      <c r="L21" s="9" t="s">
        <v>23</v>
      </c>
      <c r="M21" s="15" t="s">
        <v>134</v>
      </c>
      <c r="N21" s="15" t="s">
        <v>25</v>
      </c>
      <c r="O21" s="17" t="s">
        <v>135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8" t="s">
        <v>136</v>
      </c>
      <c r="C22" s="15" t="s">
        <v>137</v>
      </c>
      <c r="D22" s="15" t="s">
        <v>138</v>
      </c>
      <c r="E22" s="15" t="s">
        <v>139</v>
      </c>
      <c r="F22" s="15" t="s">
        <v>19</v>
      </c>
      <c r="G22" s="15" t="s">
        <v>140</v>
      </c>
      <c r="H22" s="9" t="s">
        <v>40</v>
      </c>
      <c r="I22" s="9">
        <v>8.0</v>
      </c>
      <c r="J22" s="10">
        <v>45992.0</v>
      </c>
      <c r="K22" s="9" t="s">
        <v>22</v>
      </c>
      <c r="L22" s="9" t="s">
        <v>23</v>
      </c>
      <c r="M22" s="15" t="s">
        <v>141</v>
      </c>
      <c r="N22" s="15" t="s">
        <v>25</v>
      </c>
      <c r="O22" s="17" t="s">
        <v>142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8" t="s">
        <v>143</v>
      </c>
      <c r="C23" s="9" t="s">
        <v>144</v>
      </c>
      <c r="D23" s="9" t="s">
        <v>145</v>
      </c>
      <c r="E23" s="9" t="s">
        <v>146</v>
      </c>
      <c r="F23" s="9" t="s">
        <v>147</v>
      </c>
      <c r="G23" s="9" t="s">
        <v>148</v>
      </c>
      <c r="H23" s="9" t="s">
        <v>21</v>
      </c>
      <c r="I23" s="9">
        <v>16.0</v>
      </c>
      <c r="J23" s="10">
        <v>45993.0</v>
      </c>
      <c r="K23" s="9" t="s">
        <v>149</v>
      </c>
      <c r="L23" s="9" t="s">
        <v>23</v>
      </c>
      <c r="M23" s="11" t="s">
        <v>150</v>
      </c>
      <c r="N23" s="9" t="s">
        <v>25</v>
      </c>
      <c r="O23" s="9" t="s">
        <v>151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75.75" customHeight="1">
      <c r="A24" s="1"/>
      <c r="B24" s="8" t="s">
        <v>152</v>
      </c>
      <c r="C24" s="9" t="s">
        <v>153</v>
      </c>
      <c r="D24" s="9" t="s">
        <v>154</v>
      </c>
      <c r="E24" s="9" t="s">
        <v>155</v>
      </c>
      <c r="F24" s="9" t="s">
        <v>19</v>
      </c>
      <c r="G24" s="9" t="s">
        <v>156</v>
      </c>
      <c r="H24" s="9" t="s">
        <v>21</v>
      </c>
      <c r="I24" s="9">
        <v>12.0</v>
      </c>
      <c r="J24" s="10">
        <v>45994.0</v>
      </c>
      <c r="K24" s="9" t="s">
        <v>157</v>
      </c>
      <c r="L24" s="9" t="s">
        <v>23</v>
      </c>
      <c r="M24" s="11" t="s">
        <v>158</v>
      </c>
      <c r="N24" s="9" t="s">
        <v>25</v>
      </c>
      <c r="O24" s="9" t="s">
        <v>159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75.75" customHeight="1">
      <c r="A25" s="1"/>
      <c r="B25" s="8" t="s">
        <v>160</v>
      </c>
      <c r="C25" s="9" t="s">
        <v>161</v>
      </c>
      <c r="D25" s="9" t="s">
        <v>162</v>
      </c>
      <c r="E25" s="9" t="s">
        <v>163</v>
      </c>
      <c r="F25" s="9" t="s">
        <v>147</v>
      </c>
      <c r="G25" s="12" t="s">
        <v>164</v>
      </c>
      <c r="H25" s="9" t="s">
        <v>21</v>
      </c>
      <c r="I25" s="9">
        <v>20.0</v>
      </c>
      <c r="J25" s="10">
        <v>45995.0</v>
      </c>
      <c r="K25" s="9" t="s">
        <v>165</v>
      </c>
      <c r="L25" s="9" t="s">
        <v>23</v>
      </c>
      <c r="M25" s="11" t="s">
        <v>166</v>
      </c>
      <c r="N25" s="9" t="s">
        <v>25</v>
      </c>
      <c r="O25" s="9" t="s">
        <v>167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75.75" customHeight="1">
      <c r="A26" s="1"/>
      <c r="B26" s="8" t="s">
        <v>168</v>
      </c>
      <c r="C26" s="9" t="s">
        <v>169</v>
      </c>
      <c r="D26" s="12" t="s">
        <v>170</v>
      </c>
      <c r="E26" s="9" t="s">
        <v>171</v>
      </c>
      <c r="F26" s="9" t="s">
        <v>19</v>
      </c>
      <c r="G26" s="12" t="s">
        <v>172</v>
      </c>
      <c r="H26" s="9" t="s">
        <v>40</v>
      </c>
      <c r="I26" s="9">
        <v>18.0</v>
      </c>
      <c r="J26" s="10">
        <v>45996.0</v>
      </c>
      <c r="K26" s="9" t="s">
        <v>149</v>
      </c>
      <c r="L26" s="9" t="s">
        <v>23</v>
      </c>
      <c r="M26" s="11" t="s">
        <v>173</v>
      </c>
      <c r="N26" s="9" t="s">
        <v>25</v>
      </c>
      <c r="O26" s="9" t="s">
        <v>174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8" t="s">
        <v>175</v>
      </c>
      <c r="C27" s="9" t="s">
        <v>176</v>
      </c>
      <c r="D27" s="12" t="s">
        <v>177</v>
      </c>
      <c r="E27" s="9" t="s">
        <v>178</v>
      </c>
      <c r="F27" s="9" t="s">
        <v>19</v>
      </c>
      <c r="G27" s="12" t="s">
        <v>179</v>
      </c>
      <c r="H27" s="9" t="s">
        <v>40</v>
      </c>
      <c r="I27" s="9">
        <v>22.0</v>
      </c>
      <c r="J27" s="10">
        <v>45997.0</v>
      </c>
      <c r="K27" s="9" t="s">
        <v>165</v>
      </c>
      <c r="L27" s="9" t="s">
        <v>23</v>
      </c>
      <c r="M27" s="11" t="s">
        <v>180</v>
      </c>
      <c r="N27" s="9" t="s">
        <v>25</v>
      </c>
      <c r="O27" s="9" t="s">
        <v>181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8" t="s">
        <v>182</v>
      </c>
      <c r="C28" s="9" t="s">
        <v>183</v>
      </c>
      <c r="D28" s="12" t="s">
        <v>184</v>
      </c>
      <c r="E28" s="9" t="s">
        <v>185</v>
      </c>
      <c r="F28" s="9" t="s">
        <v>186</v>
      </c>
      <c r="G28" s="12" t="s">
        <v>187</v>
      </c>
      <c r="H28" s="9" t="s">
        <v>40</v>
      </c>
      <c r="I28" s="9">
        <v>14.0</v>
      </c>
      <c r="J28" s="10">
        <v>45998.0</v>
      </c>
      <c r="K28" s="9" t="s">
        <v>165</v>
      </c>
      <c r="L28" s="9" t="s">
        <v>23</v>
      </c>
      <c r="M28" s="11" t="s">
        <v>188</v>
      </c>
      <c r="N28" s="9" t="s">
        <v>25</v>
      </c>
      <c r="O28" s="9" t="s">
        <v>189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8" t="s">
        <v>190</v>
      </c>
      <c r="C29" s="9" t="s">
        <v>191</v>
      </c>
      <c r="D29" s="12" t="s">
        <v>192</v>
      </c>
      <c r="E29" s="9" t="s">
        <v>193</v>
      </c>
      <c r="F29" s="9" t="s">
        <v>19</v>
      </c>
      <c r="G29" s="12" t="s">
        <v>194</v>
      </c>
      <c r="H29" s="9" t="s">
        <v>91</v>
      </c>
      <c r="I29" s="9">
        <v>16.0</v>
      </c>
      <c r="J29" s="10">
        <v>45999.0</v>
      </c>
      <c r="K29" s="9" t="s">
        <v>149</v>
      </c>
      <c r="L29" s="9" t="s">
        <v>23</v>
      </c>
      <c r="M29" s="11" t="s">
        <v>195</v>
      </c>
      <c r="N29" s="9" t="s">
        <v>25</v>
      </c>
      <c r="O29" s="9" t="s">
        <v>196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8" t="s">
        <v>197</v>
      </c>
      <c r="C30" s="9" t="s">
        <v>198</v>
      </c>
      <c r="D30" s="12" t="s">
        <v>199</v>
      </c>
      <c r="E30" s="9" t="s">
        <v>200</v>
      </c>
      <c r="F30" s="9" t="s">
        <v>147</v>
      </c>
      <c r="G30" s="12" t="s">
        <v>201</v>
      </c>
      <c r="H30" s="9" t="s">
        <v>91</v>
      </c>
      <c r="I30" s="9">
        <v>10.0</v>
      </c>
      <c r="J30" s="10">
        <v>46000.0</v>
      </c>
      <c r="K30" s="9" t="s">
        <v>149</v>
      </c>
      <c r="L30" s="9" t="s">
        <v>23</v>
      </c>
      <c r="M30" s="11" t="s">
        <v>202</v>
      </c>
      <c r="N30" s="9" t="s">
        <v>25</v>
      </c>
      <c r="O30" s="9" t="s">
        <v>203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8" t="s">
        <v>204</v>
      </c>
      <c r="C31" s="9" t="s">
        <v>205</v>
      </c>
      <c r="D31" s="12" t="s">
        <v>206</v>
      </c>
      <c r="E31" s="9" t="s">
        <v>207</v>
      </c>
      <c r="F31" s="9" t="s">
        <v>147</v>
      </c>
      <c r="G31" s="12" t="s">
        <v>208</v>
      </c>
      <c r="H31" s="9" t="s">
        <v>91</v>
      </c>
      <c r="I31" s="9">
        <v>12.0</v>
      </c>
      <c r="J31" s="10">
        <v>46001.0</v>
      </c>
      <c r="K31" s="9" t="s">
        <v>149</v>
      </c>
      <c r="L31" s="9" t="s">
        <v>23</v>
      </c>
      <c r="M31" s="11" t="s">
        <v>209</v>
      </c>
      <c r="N31" s="9" t="s">
        <v>25</v>
      </c>
      <c r="O31" s="9" t="s">
        <v>210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8" t="s">
        <v>211</v>
      </c>
      <c r="C32" s="9" t="s">
        <v>212</v>
      </c>
      <c r="D32" s="12" t="s">
        <v>213</v>
      </c>
      <c r="E32" s="9" t="s">
        <v>214</v>
      </c>
      <c r="F32" s="9" t="s">
        <v>38</v>
      </c>
      <c r="G32" s="12" t="s">
        <v>215</v>
      </c>
      <c r="H32" s="9" t="s">
        <v>69</v>
      </c>
      <c r="I32" s="9">
        <v>30.0</v>
      </c>
      <c r="J32" s="10">
        <v>46002.0</v>
      </c>
      <c r="K32" s="9" t="s">
        <v>165</v>
      </c>
      <c r="L32" s="9" t="s">
        <v>23</v>
      </c>
      <c r="M32" s="11" t="s">
        <v>216</v>
      </c>
      <c r="N32" s="9" t="s">
        <v>25</v>
      </c>
      <c r="O32" s="9" t="s">
        <v>217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8"/>
      <c r="C33" s="9"/>
      <c r="D33" s="12"/>
      <c r="E33" s="9"/>
      <c r="F33" s="9"/>
      <c r="G33" s="12"/>
      <c r="H33" s="9"/>
      <c r="I33" s="9"/>
      <c r="J33" s="10"/>
      <c r="K33" s="9"/>
      <c r="L33" s="9"/>
      <c r="M33" s="11"/>
      <c r="N33" s="9"/>
      <c r="O33" s="9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9"/>
      <c r="C34" s="20"/>
      <c r="D34" s="21"/>
      <c r="E34" s="20"/>
      <c r="F34" s="20"/>
      <c r="G34" s="21"/>
      <c r="H34" s="20"/>
      <c r="I34" s="20"/>
      <c r="J34" s="22"/>
      <c r="K34" s="20"/>
      <c r="L34" s="20"/>
      <c r="M34" s="23"/>
      <c r="N34" s="20"/>
      <c r="O34" s="20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"/>
      <c r="B35" s="19"/>
      <c r="C35" s="20"/>
      <c r="D35" s="21"/>
      <c r="E35" s="20"/>
      <c r="F35" s="20"/>
      <c r="G35" s="21"/>
      <c r="H35" s="20"/>
      <c r="I35" s="20"/>
      <c r="J35" s="22"/>
      <c r="K35" s="20"/>
      <c r="L35" s="20"/>
      <c r="M35" s="23"/>
      <c r="N35" s="20"/>
      <c r="O35" s="20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19"/>
      <c r="C36" s="20"/>
      <c r="D36" s="21"/>
      <c r="E36" s="20"/>
      <c r="F36" s="20"/>
      <c r="G36" s="21"/>
      <c r="H36" s="20"/>
      <c r="I36" s="20"/>
      <c r="J36" s="22"/>
      <c r="K36" s="20"/>
      <c r="L36" s="20"/>
      <c r="M36" s="23"/>
      <c r="N36" s="20"/>
      <c r="O36" s="20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19"/>
      <c r="C37" s="20"/>
      <c r="D37" s="21"/>
      <c r="E37" s="20"/>
      <c r="F37" s="20"/>
      <c r="G37" s="21"/>
      <c r="H37" s="20"/>
      <c r="I37" s="20"/>
      <c r="J37" s="22"/>
      <c r="K37" s="20"/>
      <c r="L37" s="20"/>
      <c r="M37" s="23"/>
      <c r="N37" s="20"/>
      <c r="O37" s="20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9"/>
      <c r="C38" s="20"/>
      <c r="D38" s="21"/>
      <c r="E38" s="20"/>
      <c r="F38" s="20"/>
      <c r="G38" s="21"/>
      <c r="H38" s="20"/>
      <c r="I38" s="20"/>
      <c r="J38" s="22"/>
      <c r="K38" s="20"/>
      <c r="L38" s="20"/>
      <c r="M38" s="23"/>
      <c r="N38" s="20"/>
      <c r="O38" s="20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9"/>
      <c r="C39" s="20"/>
      <c r="D39" s="21"/>
      <c r="E39" s="20"/>
      <c r="F39" s="20"/>
      <c r="G39" s="21"/>
      <c r="H39" s="20"/>
      <c r="I39" s="20"/>
      <c r="J39" s="22"/>
      <c r="K39" s="20"/>
      <c r="L39" s="20"/>
      <c r="M39" s="23"/>
      <c r="N39" s="20"/>
      <c r="O39" s="20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9"/>
      <c r="C40" s="20"/>
      <c r="D40" s="21"/>
      <c r="E40" s="20"/>
      <c r="F40" s="20"/>
      <c r="G40" s="21"/>
      <c r="H40" s="20"/>
      <c r="I40" s="20"/>
      <c r="J40" s="22"/>
      <c r="K40" s="20"/>
      <c r="L40" s="20"/>
      <c r="M40" s="23"/>
      <c r="N40" s="20"/>
      <c r="O40" s="20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3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3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3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3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3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3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3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3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3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3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3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3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3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3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3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3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3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3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3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3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3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3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3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2"/>
      <c r="J234" s="2"/>
      <c r="K234" s="3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3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3:O3"/>
  </mergeCells>
  <conditionalFormatting sqref="L6:L8 L10:L33">
    <cfRule type="colorScale" priority="1">
      <colorScale>
        <cfvo type="min"/>
        <cfvo type="max"/>
        <color rgb="FF57BB8A"/>
        <color rgb="FFFFFFFF"/>
      </colorScale>
    </cfRule>
  </conditionalFormatting>
  <conditionalFormatting sqref="L11:L18">
    <cfRule type="colorScale" priority="2">
      <colorScale>
        <cfvo type="min"/>
        <cfvo type="max"/>
        <color rgb="FF57BB8A"/>
        <color rgb="FFFFFFFF"/>
      </colorScale>
    </cfRule>
  </conditionalFormatting>
  <conditionalFormatting sqref="L9">
    <cfRule type="colorScale" priority="3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L6:L26 L33:L40">
      <formula1>$L$32:$L$35</formula1>
    </dataValidation>
    <dataValidation type="list" allowBlank="1" showErrorMessage="1" sqref="K6:K40">
      <formula1>$K$32:$K$34</formula1>
    </dataValidation>
  </dataValidations>
  <printOptions horizontalCentered="1"/>
  <pageMargins bottom="0.5511811023622047" footer="0.0" header="0.0" left="0.31496062992125984" right="0.31496062992125984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15" width="10.63"/>
    <col customWidth="1" min="16" max="16" width="2.63"/>
    <col customWidth="1" min="17" max="26" width="9.38"/>
  </cols>
  <sheetData>
    <row r="2" ht="15.0" hidden="1" customHeight="1"/>
    <row r="3" ht="15.0" hidden="1" customHeight="1"/>
    <row r="4" hidden="1">
      <c r="C4" s="24"/>
      <c r="D4" s="24"/>
      <c r="E4" s="24"/>
      <c r="F4" s="25"/>
    </row>
    <row r="5" hidden="1">
      <c r="C5" s="24"/>
      <c r="D5" s="24"/>
      <c r="E5" s="24"/>
      <c r="F5" s="25"/>
    </row>
    <row r="6" ht="39.75" customHeight="1">
      <c r="B6" s="26" t="s">
        <v>218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ht="9.75" customHeight="1">
      <c r="A7" s="27"/>
      <c r="B7" s="27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9.75" customHeight="1">
      <c r="B8" s="29"/>
      <c r="C8" s="30"/>
      <c r="D8" s="30"/>
      <c r="E8" s="30"/>
      <c r="F8" s="31"/>
      <c r="G8" s="32"/>
      <c r="H8" s="32"/>
      <c r="I8" s="32"/>
      <c r="J8" s="32"/>
      <c r="K8" s="32"/>
      <c r="L8" s="32"/>
      <c r="M8" s="32"/>
      <c r="N8" s="32"/>
      <c r="O8" s="32"/>
      <c r="P8" s="33"/>
      <c r="Q8" s="27"/>
    </row>
    <row r="9" ht="30.0" customHeight="1">
      <c r="B9" s="34"/>
      <c r="C9" s="35" t="s">
        <v>1</v>
      </c>
      <c r="D9" s="36"/>
      <c r="E9" s="37" t="s">
        <v>219</v>
      </c>
      <c r="F9" s="6"/>
      <c r="G9" s="36"/>
      <c r="H9" s="37" t="s">
        <v>11</v>
      </c>
      <c r="I9" s="6"/>
      <c r="J9" s="38"/>
      <c r="K9" s="38"/>
      <c r="L9" s="38"/>
      <c r="M9" s="38"/>
      <c r="N9" s="38"/>
      <c r="O9" s="38"/>
      <c r="P9" s="39"/>
      <c r="Q9" s="27"/>
    </row>
    <row r="10" ht="30.0" customHeight="1">
      <c r="B10" s="34"/>
      <c r="C10" s="40" t="s">
        <v>15</v>
      </c>
      <c r="D10" s="41"/>
      <c r="E10" s="42" t="str">
        <f>VLOOKUP(C10,'Formato descripción HU'!B6:O22,5,0)</f>
        <v>Propietario</v>
      </c>
      <c r="F10" s="6"/>
      <c r="G10" s="43"/>
      <c r="H10" s="42" t="str">
        <f>VLOOKUP(C10,'Formato descripción HU'!B6:O22,11,0)</f>
        <v>Pendiente</v>
      </c>
      <c r="I10" s="6"/>
      <c r="J10" s="43"/>
      <c r="K10" s="38"/>
      <c r="L10" s="38"/>
      <c r="M10" s="38"/>
      <c r="N10" s="38"/>
      <c r="O10" s="38"/>
      <c r="P10" s="39"/>
      <c r="Q10" s="27"/>
    </row>
    <row r="11" ht="9.75" customHeight="1">
      <c r="A11" s="27"/>
      <c r="B11" s="34"/>
      <c r="C11" s="44"/>
      <c r="D11" s="41"/>
      <c r="E11" s="45"/>
      <c r="F11" s="45"/>
      <c r="G11" s="43"/>
      <c r="H11" s="45"/>
      <c r="I11" s="45"/>
      <c r="J11" s="43"/>
      <c r="K11" s="45"/>
      <c r="L11" s="45"/>
      <c r="M11" s="38"/>
      <c r="N11" s="45"/>
      <c r="O11" s="45"/>
      <c r="P11" s="39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30.0" customHeight="1">
      <c r="A12" s="27"/>
      <c r="B12" s="34"/>
      <c r="C12" s="35" t="s">
        <v>220</v>
      </c>
      <c r="D12" s="41"/>
      <c r="E12" s="37" t="s">
        <v>10</v>
      </c>
      <c r="F12" s="6"/>
      <c r="G12" s="43"/>
      <c r="H12" s="37" t="s">
        <v>221</v>
      </c>
      <c r="I12" s="6"/>
      <c r="J12" s="43"/>
      <c r="K12" s="45"/>
      <c r="L12" s="45"/>
      <c r="M12" s="38"/>
      <c r="N12" s="45"/>
      <c r="O12" s="45"/>
      <c r="P12" s="39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30.0" customHeight="1">
      <c r="A13" s="27"/>
      <c r="B13" s="34"/>
      <c r="C13" s="46">
        <f>VLOOKUP('Historia de Usuario'!C10,'Formato descripción HU'!B6:O22,8,0)</f>
        <v>6</v>
      </c>
      <c r="D13" s="41"/>
      <c r="E13" s="42" t="str">
        <f>VLOOKUP(C10,'Formato descripción HU'!B6:O22,10,0)</f>
        <v>Alta/Esencial</v>
      </c>
      <c r="F13" s="6"/>
      <c r="G13" s="43"/>
      <c r="H13" s="42" t="str">
        <f>VLOOKUP(C10,'Formato descripción HU'!B6:O22,7,0)</f>
        <v>Camilo Orrico</v>
      </c>
      <c r="I13" s="6"/>
      <c r="J13" s="43"/>
      <c r="K13" s="45"/>
      <c r="L13" s="45"/>
      <c r="M13" s="38"/>
      <c r="N13" s="45"/>
      <c r="O13" s="45"/>
      <c r="P13" s="39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9.75" customHeight="1">
      <c r="A14" s="27"/>
      <c r="B14" s="34"/>
      <c r="C14" s="38"/>
      <c r="D14" s="41"/>
      <c r="E14" s="38"/>
      <c r="F14" s="38"/>
      <c r="G14" s="43"/>
      <c r="H14" s="43"/>
      <c r="I14" s="38"/>
      <c r="J14" s="38"/>
      <c r="K14" s="38"/>
      <c r="L14" s="38"/>
      <c r="M14" s="38"/>
      <c r="N14" s="38"/>
      <c r="O14" s="38"/>
      <c r="P14" s="39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9.5" customHeight="1">
      <c r="A15" s="27"/>
      <c r="B15" s="34"/>
      <c r="C15" s="47" t="s">
        <v>222</v>
      </c>
      <c r="D15" s="48" t="str">
        <f>VLOOKUP(C10,'Formato descripción HU'!B6:O22,3,0)</f>
        <v>Registrar los datos del producto: nombre, precio, stock</v>
      </c>
      <c r="E15" s="49"/>
      <c r="F15" s="50"/>
      <c r="G15" s="47" t="s">
        <v>223</v>
      </c>
      <c r="H15" s="48" t="str">
        <f>VLOOKUP(C10,'Formato descripción HU'!B6:O22,4,0)</f>
        <v>Para poder gestionar los productos y controlar su inventario</v>
      </c>
      <c r="I15" s="51"/>
      <c r="J15" s="49"/>
      <c r="K15" s="50"/>
      <c r="L15" s="47" t="s">
        <v>224</v>
      </c>
      <c r="M15" s="52" t="str">
        <f>VLOOKUP(C10,'Formato descripción HU'!B6:O22,6,0)</f>
        <v>Ingresar el nombre, precio, stock y otros datos del producto</v>
      </c>
      <c r="N15" s="51"/>
      <c r="O15" s="49"/>
      <c r="P15" s="39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9.5" customHeight="1">
      <c r="A16" s="27"/>
      <c r="B16" s="34"/>
      <c r="C16" s="53"/>
      <c r="D16" s="54"/>
      <c r="E16" s="55"/>
      <c r="F16" s="50"/>
      <c r="G16" s="53"/>
      <c r="H16" s="54"/>
      <c r="J16" s="55"/>
      <c r="K16" s="50"/>
      <c r="L16" s="53"/>
      <c r="M16" s="54"/>
      <c r="O16" s="55"/>
      <c r="P16" s="39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9.5" customHeight="1">
      <c r="A17" s="27"/>
      <c r="B17" s="34"/>
      <c r="C17" s="56"/>
      <c r="D17" s="57"/>
      <c r="E17" s="58"/>
      <c r="F17" s="50"/>
      <c r="G17" s="56"/>
      <c r="H17" s="57"/>
      <c r="I17" s="59"/>
      <c r="J17" s="58"/>
      <c r="K17" s="50"/>
      <c r="L17" s="56"/>
      <c r="M17" s="57"/>
      <c r="N17" s="59"/>
      <c r="O17" s="58"/>
      <c r="P17" s="39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9.75" customHeight="1">
      <c r="A18" s="27"/>
      <c r="B18" s="34"/>
      <c r="C18" s="38"/>
      <c r="D18" s="38"/>
      <c r="E18" s="38"/>
      <c r="F18" s="38"/>
      <c r="G18" s="43"/>
      <c r="H18" s="43"/>
      <c r="I18" s="43"/>
      <c r="J18" s="38"/>
      <c r="K18" s="38"/>
      <c r="L18" s="38"/>
      <c r="M18" s="38"/>
      <c r="N18" s="38"/>
      <c r="O18" s="38"/>
      <c r="P18" s="39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9.5" customHeight="1">
      <c r="B19" s="34"/>
      <c r="C19" s="60" t="s">
        <v>225</v>
      </c>
      <c r="D19" s="49"/>
      <c r="E19" s="61" t="str">
        <f>VLOOKUP(C10,'Formato descripción HU'!B6:O22,14,0)</f>
        <v>Registrar producto</v>
      </c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39"/>
      <c r="Q19" s="27"/>
    </row>
    <row r="20" ht="19.5" customHeight="1">
      <c r="B20" s="34"/>
      <c r="C20" s="57"/>
      <c r="D20" s="58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6"/>
      <c r="P20" s="39"/>
      <c r="Q20" s="27"/>
    </row>
    <row r="21" ht="9.75" customHeight="1">
      <c r="B21" s="34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9"/>
      <c r="Q21" s="27"/>
    </row>
    <row r="22" ht="19.5" customHeight="1">
      <c r="A22" s="27"/>
      <c r="B22" s="34"/>
      <c r="C22" s="67" t="s">
        <v>226</v>
      </c>
      <c r="D22" s="49"/>
      <c r="E22" s="68" t="str">
        <f>VLOOKUP(C10,'Formato descripción HU'!B6:O22,12,0)</f>
        <v>Verificar que los cambios se reflejen correctamente.</v>
      </c>
      <c r="F22" s="51"/>
      <c r="G22" s="51"/>
      <c r="H22" s="49"/>
      <c r="I22" s="38"/>
      <c r="J22" s="67" t="s">
        <v>13</v>
      </c>
      <c r="K22" s="49"/>
      <c r="L22" s="69" t="str">
        <f>VLOOKUP(C10,'Formato descripción HU'!B6:O22,13,0)</f>
        <v>—</v>
      </c>
      <c r="M22" s="51"/>
      <c r="N22" s="51"/>
      <c r="O22" s="49"/>
      <c r="P22" s="39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9.5" customHeight="1">
      <c r="A23" s="27"/>
      <c r="B23" s="34"/>
      <c r="C23" s="54"/>
      <c r="D23" s="55"/>
      <c r="E23" s="54"/>
      <c r="H23" s="55"/>
      <c r="I23" s="38"/>
      <c r="J23" s="54"/>
      <c r="K23" s="55"/>
      <c r="L23" s="54"/>
      <c r="O23" s="55"/>
      <c r="P23" s="39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9.5" customHeight="1">
      <c r="A24" s="27"/>
      <c r="B24" s="34"/>
      <c r="C24" s="57"/>
      <c r="D24" s="58"/>
      <c r="E24" s="57"/>
      <c r="F24" s="59"/>
      <c r="G24" s="59"/>
      <c r="H24" s="58"/>
      <c r="I24" s="38"/>
      <c r="J24" s="57"/>
      <c r="K24" s="58"/>
      <c r="L24" s="57"/>
      <c r="M24" s="59"/>
      <c r="N24" s="59"/>
      <c r="O24" s="58"/>
      <c r="P24" s="39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9.75" customHeight="1">
      <c r="A25" s="27"/>
      <c r="B25" s="70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2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9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9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9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9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9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9.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9.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9.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9.5" customHeight="1"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</row>
    <row r="35" ht="19.5" customHeight="1"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</row>
    <row r="36" ht="19.5" customHeight="1"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</row>
    <row r="37" ht="19.5" customHeight="1"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38" ht="19.5" customHeight="1"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</row>
    <row r="39" ht="19.5" customHeight="1"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</row>
    <row r="40" ht="19.5" customHeight="1"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ht="19.5" customHeight="1"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</row>
    <row r="42" ht="19.5" customHeight="1"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</row>
    <row r="43" ht="19.5" customHeight="1"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</row>
    <row r="44" ht="19.5" customHeight="1"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 ht="19.5" customHeight="1"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</row>
    <row r="46" ht="19.5" customHeight="1"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</row>
    <row r="47" ht="19.5" customHeight="1"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ht="19.5" customHeight="1"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ht="19.5" customHeight="1"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</row>
    <row r="50" ht="19.5" customHeight="1"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</row>
    <row r="51" ht="19.5" customHeight="1"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 ht="19.5" customHeight="1"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</row>
    <row r="53" ht="19.5" customHeight="1"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</row>
    <row r="54" ht="19.5" customHeight="1"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5.75" customHeight="1"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6:P6"/>
    <mergeCell ref="E9:F9"/>
    <mergeCell ref="H9:I9"/>
    <mergeCell ref="E10:F10"/>
    <mergeCell ref="H10:I10"/>
    <mergeCell ref="E12:F12"/>
    <mergeCell ref="E13:F13"/>
    <mergeCell ref="C15:C17"/>
    <mergeCell ref="C19:D20"/>
    <mergeCell ref="C22:D24"/>
    <mergeCell ref="E22:H24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</mergeCells>
  <conditionalFormatting sqref="H10:I11">
    <cfRule type="cellIs" dxfId="0" priority="1" operator="equal">
      <formula>"Atrasado"</formula>
    </cfRule>
  </conditionalFormatting>
  <conditionalFormatting sqref="H10:I11">
    <cfRule type="cellIs" dxfId="1" priority="2" operator="equal">
      <formula>"Terminado"</formula>
    </cfRule>
  </conditionalFormatting>
  <conditionalFormatting sqref="H10:I11">
    <cfRule type="cellIs" dxfId="2" priority="3" operator="equal">
      <formula>"En proceso"</formula>
    </cfRule>
  </conditionalFormatting>
  <conditionalFormatting sqref="H10:I11">
    <cfRule type="cellIs" dxfId="1" priority="4" operator="equal">
      <formula>"No Iniciado"</formula>
    </cfRule>
  </conditionalFormatting>
  <dataValidations>
    <dataValidation type="list" allowBlank="1" showErrorMessage="1" sqref="C10:C11">
      <formula1>'Formato descripción HU'!$B$6:$B$22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