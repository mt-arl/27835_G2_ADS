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<sst xmlns="http://schemas.openxmlformats.org/spreadsheetml/2006/main" count="359" uniqueCount="237">
  <si>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</si>
  <si>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</si>
  <si>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</si>
  <si>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</si>
  <si>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</si>
  <si>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</si>
  <si>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</si>
  <si>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</si>
  <si>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</si>
  <si>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</si>
  <si>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</si>
  <si>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</si>
  <si>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</si>
  <si>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</si>
  <si>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</si>
  <si>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</si>
  <si>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debe permitir registrar la información del producto</t>
  </si>
  <si>
    <t>Registrar los datos del producto: nombre, precio, stock</t>
  </si>
  <si>
    <t>Para poder gestionar los productos y controlar su inventario</t>
  </si>
  <si>
    <t>Propietario</t>
  </si>
  <si>
    <t>Ingresar el nombre, precio, stock y otros datos del producto</t>
  </si>
  <si>
    <t>Camilo Orrico</t>
  </si>
  <si>
    <t>Alta/Esencial</t>
  </si>
  <si>
    <t>Pendiente</t>
  </si>
  <si>
    <t>Verificar que los cambios se reflejen correctamente.</t>
  </si>
  <si>
    <t>—</t>
  </si>
  <si>
    <t>Registrar producto</t>
  </si>
  <si>
    <t>REQ004</t>
  </si>
  <si>
    <t>El sistema debe permitir editar la información del producto</t>
  </si>
  <si>
    <t>Editar los datos de los productos registrados</t>
  </si>
  <si>
    <t>Para mantener actualizada la información de los productos</t>
  </si>
  <si>
    <t>Seleccionar el producto y modificar los campos necesarios</t>
  </si>
  <si>
    <t>Verificar creación exitosa en base de datos.</t>
  </si>
  <si>
    <t>Actualizar producto</t>
  </si>
  <si>
    <t>REQ005</t>
  </si>
  <si>
    <t>El sistema debe permitir eliminar productos del inventario</t>
  </si>
  <si>
    <t>Eliminar productos del inventario de forma lógica</t>
  </si>
  <si>
    <t>Para mantener el inventario actualizado y eliminar productos no disponibles</t>
  </si>
  <si>
    <t>Seleccionar el producto y confirmar la eliminación</t>
  </si>
  <si>
    <t>Verificar que los cambios se guarden correctamente.</t>
  </si>
  <si>
    <t>Eliminar producto</t>
  </si>
  <si>
    <t>REQ006</t>
  </si>
  <si>
    <t>El sistema debe permitir consultar los productos registrados</t>
  </si>
  <si>
    <t>Consultar los productos disponibles en el inventario</t>
  </si>
  <si>
    <t>Para ver los productos y sus detalles antes de realizar una venta o pedido</t>
  </si>
  <si>
    <t>Acceder a la lista de productos y seleccionar para ver más detalles</t>
  </si>
  <si>
    <t>Verificar resultados de búsqueda correctos.</t>
  </si>
  <si>
    <t>Consultar producto</t>
  </si>
  <si>
    <t>REQ007</t>
  </si>
  <si>
    <t>El sistema debe permitir registrar clientes</t>
  </si>
  <si>
    <t>Registrar nuevos clientes en la base de datos</t>
  </si>
  <si>
    <t>Para realizar pedidos y asociar clientes a ventas</t>
  </si>
  <si>
    <t>Ingresar los datos del cliente: nombre, identificación, correo electrónico</t>
  </si>
  <si>
    <t>Matias Lugmaña</t>
  </si>
  <si>
    <t>Verificar eliminación en la base de datos.</t>
  </si>
  <si>
    <t>Registrar cliente</t>
  </si>
  <si>
    <t>REQ008</t>
  </si>
  <si>
    <t>El sistema debe permitir editar la información de los clientes</t>
  </si>
  <si>
    <t>Editar los datos de los clientes registrados</t>
  </si>
  <si>
    <t>Para mantener actualizada la información de los clientes</t>
  </si>
  <si>
    <t>Seleccionar el cliente y modificar los datos</t>
  </si>
  <si>
    <t>Verificar registro y cálculo total correcto.</t>
  </si>
  <si>
    <t>Actualizar cliente</t>
  </si>
  <si>
    <t>RF-3.1</t>
  </si>
  <si>
    <t>No existe registro digital y estructurado de pedidos</t>
  </si>
  <si>
    <t>Registrar nuevos pedidos de forma rápida y confiable</t>
  </si>
  <si>
    <t>Asegurar el control de ventas y la trazabilidad de cada solicitud realizada</t>
  </si>
  <si>
    <t>Ingresar datos del cliente, productos, cantidades, fecha y guardar pedido</t>
  </si>
  <si>
    <t>Denise Rea</t>
  </si>
  <si>
    <t>Importante</t>
  </si>
  <si>
    <t>Crear un pedido y confirmar que aparece en la base de datos y en el módulo de la consulta</t>
  </si>
  <si>
    <t>Debe validar campos obligatorios</t>
  </si>
  <si>
    <t>HU-RegistrarPedido</t>
  </si>
  <si>
    <t>RF-3.2</t>
  </si>
  <si>
    <t xml:space="preserve">Los pedidos no pueden modificarse una vez ya registrados </t>
  </si>
  <si>
    <t>Actualizar información de pedido</t>
  </si>
  <si>
    <t>Corregir errores o ajustar cantidades antes de su entrega</t>
  </si>
  <si>
    <t>Editar los datos del pedido previamente registrado y guardar cambios</t>
  </si>
  <si>
    <t xml:space="preserve">Modificar un pedido y comprobar que la información actualizada se refleje correctamente </t>
  </si>
  <si>
    <t>Debe registrar la fecha en que fue modificado</t>
  </si>
  <si>
    <t>HU-ActualizarPedido</t>
  </si>
  <si>
    <t>RF-3.3</t>
  </si>
  <si>
    <t xml:space="preserve">No hay forma de ver el historial de pedidos realizados </t>
  </si>
  <si>
    <t xml:space="preserve">Consultar información de los pedidos registrados </t>
  </si>
  <si>
    <t xml:space="preserve">Acceder a detalles, estados, clientes y productos asociados </t>
  </si>
  <si>
    <t>Buscar código, fecha, o cliente y visualizar detalles</t>
  </si>
  <si>
    <t xml:space="preserve">Realizar una consulta y verificar que los datos coinciden con lo registrado </t>
  </si>
  <si>
    <t xml:space="preserve">Agregar filtros básicos </t>
  </si>
  <si>
    <t>HU-Consultar pedido</t>
  </si>
  <si>
    <t>RF-3.4</t>
  </si>
  <si>
    <t>Pedidos erróneos permanecen en el sistema sin poder ser removidos</t>
  </si>
  <si>
    <t xml:space="preserve">Eliminar pedidos que no sean válidos </t>
  </si>
  <si>
    <t xml:space="preserve">Mantener una base de datos limpia y confiable </t>
  </si>
  <si>
    <t>Seleccionar el pedido y ejecutar la acción de eliminar, en connjunto a una confirmación</t>
  </si>
  <si>
    <t>Eliminar un pedido y comprobar que ya no aparece en las consultas</t>
  </si>
  <si>
    <t>Es recomendable usar un borrado lógico</t>
  </si>
  <si>
    <t>HU-EliminarPedido</t>
  </si>
  <si>
    <t>RF-3.5</t>
  </si>
  <si>
    <t>No existe control en el progreso del pedido del cliente (pendiente, en progreso, entregado)</t>
  </si>
  <si>
    <t>Controlar y actualizar el estado del pedido</t>
  </si>
  <si>
    <t xml:space="preserve">Gestionar el flujo y saber en qué parte del proceso se encuentra </t>
  </si>
  <si>
    <t>Cambiar estado desde un menú (transición de pendiente, en proceso y finalizado)</t>
  </si>
  <si>
    <t>Cambiar estado y verificar que se actualiza correctamente en la vista del pedido</t>
  </si>
  <si>
    <t>Los estados deben ser controlados por reglas</t>
  </si>
  <si>
    <t>HU-ControlarEstado</t>
  </si>
  <si>
    <t>RF-3.6</t>
  </si>
  <si>
    <t>No hay reportes para analizar pedidos realizados</t>
  </si>
  <si>
    <t>Geberar reportes descargables</t>
  </si>
  <si>
    <t>Para tener una visión general de las ventas y el estado de los pedidos</t>
  </si>
  <si>
    <t>Seleccionar los criterios para el reporte (fecha, cliente, estado)</t>
  </si>
  <si>
    <t>Generar reporte y verificar contenido correcto y estructura del archivo generado</t>
  </si>
  <si>
    <t>Se puede usar formato PDF</t>
  </si>
  <si>
    <t>HU-GenerarReportes</t>
  </si>
  <si>
    <t>RF-4.1</t>
  </si>
  <si>
    <t>El actor no puede crear combinaciones personalizadas de productos ni reutilizarlas en pedidos.</t>
  </si>
  <si>
    <t>Permitir a los clientes seleccionar productos y crear mezclas personalizadas</t>
  </si>
  <si>
    <t>Guardar la mezcla y usarla en pedidos futuros, calculando su precio total dinámicamente.</t>
  </si>
  <si>
    <t>Cliente</t>
  </si>
  <si>
    <t>Acceder a "Crear Nueva Mezcla”. Ingresar nombre válido. Seleccionar productos. Ingresar cantidades. Calcular precios. Modificar componentes. Ver datos nutricionales. Guardar mezcla o registrarla en un pedido.</t>
  </si>
  <si>
    <t>Julio Viche</t>
  </si>
  <si>
    <t>Verificar que se puede crear mezcla con nombre válido. Añadir/modificar/eliminar componentes correctamente. Cálculo dinámico del precio total. - Validación de cantidades y disponibilidad. Mostrar datos nutricionales cuando existan. Guardado exitoso en BD y uso en un pedido. Mostrar mensajes de error según excepciones.</t>
  </si>
  <si>
    <t>HU-DiseñarMezclaPersonalizada</t>
  </si>
  <si>
    <t>RF-4.2</t>
  </si>
  <si>
    <t>El actor no puede consultar mezclas personalizadas ni recibir recomendaciones basadas en su historial o nutrición.</t>
  </si>
  <si>
    <t>Mostrar mezclas predefinidas, mezclas guardadas y sugerencias dinámicas basadas en historial, preferencias y balance nutricional.</t>
  </si>
  <si>
    <t>Permitir al actor reutilizar, ajustar o crear nuevas mezclas a partir de recomendaciones o mezclas existentes.</t>
  </si>
  <si>
    <t>Acceder a “Consultar/Crear Mezcla”. Ver mezclas predefinidas, sugerencias y mezclas guardadas. Seleccionar mezcla existente o iniciar desde cero. Ajustar cantidades o componentes. Ver costo, precio y datos nutricionales. Recibir avisos o recomendaciones. Guardar mezcla o agregarla a un pedido.</t>
  </si>
  <si>
    <t>Consultar mezclas predefinidas y guardadas. Generar recomendaciones. Seleccionar y editar mezclas correctamente. Cálculo dinámico del costo y datos nutricionales. Mostrar avisos de similitud. Guardar mezcla o añadir a pedido. Validar errores de carga, conexión y datos según excepciones.</t>
  </si>
  <si>
    <t>HU-ConsultarMezclasPersonalizadas</t>
  </si>
  <si>
    <t>RF-4.3</t>
  </si>
  <si>
    <t>El actor no puede almacenar sus mezclas personalizadas para reutilizarlas en el futuro.</t>
  </si>
  <si>
    <t>Guardar en la base de datos una mezcla personalizada diseñada o modificada.</t>
  </si>
  <si>
    <t>Permitir que el cliente consulte y utilice la mezcla en pedidos futuros sin volver a diseñarla.</t>
  </si>
  <si>
    <t>Acceder a “Guardar Mezcla”. Introducir un nombre para la mezcla. Validar nombre. Guardar mezcla en BD. Mostrar confirmación.</t>
  </si>
  <si>
    <t>Verificar que se solicite nombre de mezcla. Validar longitudes y campos vacíos. Confirmar que la mezcla se guarda en la BD. Mostrar mensaje de éxito. Manejar errores: validación fallida o falla de conexión/guardado.</t>
  </si>
  <si>
    <t>HU-GuardarMezclaPersonalizada</t>
  </si>
  <si>
    <t>RF-4.4</t>
  </si>
  <si>
    <t>El actor no puede visualizar los datos nutricionales de productos o mezclas mientras las diseña.</t>
  </si>
  <si>
    <t>Mostrar datos nutricionales individuales y agregados en tiempo real durante la creación o consulta de mezclas.</t>
  </si>
  <si>
    <t>Permitir que el cliente evalúe el valor nutricional de productos o mezclas para tomar decisiones informadas.</t>
  </si>
  <si>
    <t>Actor accede a “Datos Nutricionales” o el sistema los muestra automáticamente. Mostrar datos nutricionales del producto individual. Para mezclas, sumar datos de cada componente.</t>
  </si>
  <si>
    <t>Ver datos nutricionales al seleccionar un producto. Ver datos nutricionales agregados al diseñar una mezcla. Actualización dinámica al cambiar cantidades o componentes. Mensaje “Información no disponible” si faltan datos.</t>
  </si>
  <si>
    <t>HU-MostrarDatosNutricionales</t>
  </si>
  <si>
    <t>REQ018</t>
  </si>
  <si>
    <t>Sistema lento con muchos datos.</t>
  </si>
  <si>
    <t>Mejorar rendimiento.</t>
  </si>
  <si>
    <t>Acelerar respuestas al usuario.</t>
  </si>
  <si>
    <t>Propietario / Cliente</t>
  </si>
  <si>
    <t>Optimizar consultas y CRUD.</t>
  </si>
  <si>
    <t>Crítico</t>
  </si>
  <si>
    <t>Medir tiempos &lt;1 s en consultas.</t>
  </si>
  <si>
    <t>Rendimiento</t>
  </si>
  <si>
    <t>REQ019</t>
  </si>
  <si>
    <t>Sistema no disponible constantemente.</t>
  </si>
  <si>
    <t>Garantizar disponibilidad.</t>
  </si>
  <si>
    <t>Evitar interrupciones.</t>
  </si>
  <si>
    <t>Configurar disponibilidad 98 % y recuperación &lt;3 min.</t>
  </si>
  <si>
    <t>Obligatorio</t>
  </si>
  <si>
    <t>Simular caída y medir recuperación.</t>
  </si>
  <si>
    <t>Disponibilidad</t>
  </si>
  <si>
    <t>REQ020</t>
  </si>
  <si>
    <t>Interfaz poco amigable.</t>
  </si>
  <si>
    <t>Mejorar usabilidad.</t>
  </si>
  <si>
    <t>Hacer la app fácil de usar.</t>
  </si>
  <si>
    <t>Diseñar GUI intuitiva con validaciones.</t>
  </si>
  <si>
    <t>Prueba de usuario y validación de formularios.</t>
  </si>
  <si>
    <t>Usabilidad</t>
  </si>
  <si>
    <t>REQ021</t>
  </si>
  <si>
    <t>Errores en datos manuales.</t>
  </si>
  <si>
    <t>Asegurar integridad de datos.</t>
  </si>
  <si>
    <t>Evitar duplicados y pérdida.</t>
  </si>
  <si>
    <t>Implementar validaciones y reglas.</t>
  </si>
  <si>
    <t>Probar integridad entre tablas.</t>
  </si>
  <si>
    <t>Integridad de Datos</t>
  </si>
  <si>
    <t>REQ022</t>
  </si>
  <si>
    <t>Sistema no escala con más registros.</t>
  </si>
  <si>
    <t>Permitir escalabilidad.</t>
  </si>
  <si>
    <t>Soportar más usuarios y registros.</t>
  </si>
  <si>
    <t>Diseñar arquitectura escalable en backend y BD.</t>
  </si>
  <si>
    <t>Ejecutar pruebas de carga y rendimiento.</t>
  </si>
  <si>
    <t>Escalabilidad</t>
  </si>
  <si>
    <t>REQ023</t>
  </si>
  <si>
    <t>Difícil mantenimiento del sistema.</t>
  </si>
  <si>
    <t>Mejorar mantenibilidad.</t>
  </si>
  <si>
    <t>Facilitar actualizaciones.</t>
  </si>
  <si>
    <t>Desarrollador</t>
  </si>
  <si>
    <t>Modularizar código y documentar.</t>
  </si>
  <si>
    <t>Validar facilidad de corrección.</t>
  </si>
  <si>
    <t>Mantenibilidad</t>
  </si>
  <si>
    <t>REQ024</t>
  </si>
  <si>
    <t>Riesgo de pérdida de datos.</t>
  </si>
  <si>
    <t>Implementar respaldo.</t>
  </si>
  <si>
    <t>Proteger información crítica.</t>
  </si>
  <si>
    <t>Configurar copias automáticas y restauración.</t>
  </si>
  <si>
    <t>Restaurar copia y validar datos.</t>
  </si>
  <si>
    <t>Respaldo y Recuperación</t>
  </si>
  <si>
    <t>REQ025</t>
  </si>
  <si>
    <t>Dependencia de un solo sistema operativo.</t>
  </si>
  <si>
    <t>Mejorar portabilidad.</t>
  </si>
  <si>
    <t>Funcionar en varios entornos.</t>
  </si>
  <si>
    <t>Usar tecnologías multiplataforma.</t>
  </si>
  <si>
    <t>Ejecutar pruebas en distintos SO.</t>
  </si>
  <si>
    <t>Portabilidad</t>
  </si>
  <si>
    <t>REQ026</t>
  </si>
  <si>
    <t>Cálculos erróneos manuales.</t>
  </si>
  <si>
    <t>Asegurar precisión.</t>
  </si>
  <si>
    <t>Mostrar resultados correctos.</t>
  </si>
  <si>
    <t>Validar fórmulas de precios y nutrición.</t>
  </si>
  <si>
    <t>Comparar resultados calculados.</t>
  </si>
  <si>
    <t>Precisión de Cálculos</t>
  </si>
  <si>
    <t>REQ027</t>
  </si>
  <si>
    <t>Sugerencias poco relevantes.</t>
  </si>
  <si>
    <t>Mejorar recomendaciones.</t>
  </si>
  <si>
    <t>Personalizar sugerencias.</t>
  </si>
  <si>
    <t>Analizar historial de mezclas y ofrecer sugerencias.</t>
  </si>
  <si>
    <t>Validar relevancia con usuarios.</t>
  </si>
  <si>
    <t>Calidad de Recomendación</t>
  </si>
  <si>
    <t>El sistema debe permitir al cliente diseñar mezclas personalizadas</t>
  </si>
  <si>
    <t>Para ofrecer a los clientes una experiencia personalizada</t>
  </si>
  <si>
    <t>Seleccionar productos y cantidades para crear la mezcla</t>
  </si>
  <si>
    <t>Verificar que el producto se elimine del sistema.</t>
  </si>
  <si>
    <t>Diseñar mezcla personalizada</t>
  </si>
  <si>
    <t>El sistema debe permitir generar reportes de ventas</t>
  </si>
  <si>
    <t>Generar reportes de ventas por fecha, cliente, y producto</t>
  </si>
  <si>
    <t>Para poder hacer un seguimiento de las ventas y el rendimiento</t>
  </si>
  <si>
    <t>Seleccionar filtros de fecha, cliente, y productos para generar el reporte</t>
  </si>
  <si>
    <t>Verificar que se muestre la lista completa y filtrada.</t>
  </si>
  <si>
    <t>Generar reportes de ventas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</si>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</sst>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1.0"/>
      <color theme="1"/>
      <name val="Arial Narrow"/>
    </font>
    <font/>
    <font>
      <b/>
      <i/>
      <sz val="11.0"/>
      <color rgb="FF9C6500"/>
      <name val="Arial Narrow"/>
    </font>
    <font>
      <sz val="11.0"/>
      <color rgb="FF000000"/>
      <name val="Arial Narrow"/>
    </font>
    <font>
      <b/>
      <sz val="11.0"/>
      <color theme="1"/>
      <name val="Arial Narrow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5" fillId="5" fontId="11" numFmtId="0" xfId="0" applyAlignment="1" applyBorder="1" applyFont="1">
      <alignment shrinkToFit="0" wrapText="1"/>
    </xf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shrinkToFit="0" wrapText="1"/>
    </xf>
    <xf borderId="6" fillId="5" fontId="11" numFmtId="0" xfId="0" applyAlignment="1" applyBorder="1" applyFont="1">
      <alignment shrinkToFit="0" wrapText="1"/>
    </xf>
    <xf borderId="7" fillId="5" fontId="11" numFmtId="0" xfId="0" applyAlignment="1" applyBorder="1" applyFont="1">
      <alignment shrinkToFit="0" wrapText="1"/>
    </xf>
    <xf borderId="8" fillId="5" fontId="11" numFmtId="0" xfId="0" applyAlignment="1" applyBorder="1" applyFont="1">
      <alignment shrinkToFit="0" wrapText="1"/>
    </xf>
    <xf borderId="4" fillId="6" fontId="12" numFmtId="0" xfId="0" applyAlignment="1" applyBorder="1" applyFill="1" applyFont="1">
      <alignment horizontal="center" shrinkToFit="0" vertical="center" wrapText="1"/>
    </xf>
    <xf borderId="9" fillId="5" fontId="13" numFmtId="0" xfId="0" applyAlignment="1" applyBorder="1" applyFont="1">
      <alignment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9" fillId="5" fontId="11" numFmtId="0" xfId="0" applyAlignment="1" applyBorder="1" applyFont="1">
      <alignment shrinkToFit="0" wrapText="1"/>
    </xf>
    <xf borderId="10" fillId="5" fontId="11" numFmtId="0" xfId="0" applyAlignment="1" applyBorder="1" applyFont="1">
      <alignment shrinkToFit="0" wrapText="1"/>
    </xf>
    <xf borderId="4" fillId="7" fontId="14" numFmtId="0" xfId="0" applyAlignment="1" applyBorder="1" applyFill="1" applyFont="1">
      <alignment horizontal="center" readingOrder="0" shrinkToFit="0" vertical="center" wrapText="1"/>
    </xf>
    <xf borderId="9" fillId="5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9" fillId="5" fontId="14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11" fillId="8" fontId="12" numFmtId="0" xfId="0" applyAlignment="1" applyBorder="1" applyFill="1" applyFont="1">
      <alignment horizontal="center" shrinkToFit="0" vertical="center" wrapText="1"/>
    </xf>
    <xf borderId="12" fillId="7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1" numFmtId="0" xfId="0" applyAlignment="1" applyBorder="1" applyFont="1">
      <alignment horizontal="center" shrinkToFit="0" wrapText="1"/>
    </xf>
    <xf borderId="14" fillId="0" fontId="3" numFmtId="0" xfId="0" applyBorder="1" applyFont="1"/>
    <xf borderId="12" fillId="7" fontId="9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5" numFmtId="0" xfId="0" applyAlignment="1" applyBorder="1" applyFill="1" applyFont="1">
      <alignment horizontal="center" shrinkToFit="0" vertical="center" wrapText="1"/>
    </xf>
    <xf borderId="22" fillId="2" fontId="14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shrinkToFit="0" vertical="center" wrapText="1"/>
    </xf>
    <xf borderId="12" fillId="7" fontId="9" numFmtId="49" xfId="0" applyAlignment="1" applyBorder="1" applyFont="1" applyNumberFormat="1">
      <alignment horizontal="left" shrinkToFit="0" vertical="center" wrapText="1"/>
    </xf>
    <xf borderId="28" fillId="5" fontId="11" numFmtId="0" xfId="0" applyAlignment="1" applyBorder="1" applyFont="1">
      <alignment shrinkToFit="0" wrapText="1"/>
    </xf>
    <xf borderId="29" fillId="5" fontId="11" numFmtId="0" xfId="0" applyAlignment="1" applyBorder="1" applyFont="1">
      <alignment shrinkToFit="0" wrapText="1"/>
    </xf>
    <xf borderId="30" fillId="5" fontId="11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4" width="20.63"/>
    <col customWidth="1" min="15" max="15" width="22.75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5.75" customHeight="1">
      <c r="A6" s="1"/>
      <c r="B6" s="6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>
        <v>6.0</v>
      </c>
      <c r="J6" s="8">
        <v>45976.0</v>
      </c>
      <c r="K6" s="7" t="s">
        <v>22</v>
      </c>
      <c r="L6" s="7" t="s">
        <v>23</v>
      </c>
      <c r="M6" s="9" t="s">
        <v>24</v>
      </c>
      <c r="N6" s="7" t="s">
        <v>25</v>
      </c>
      <c r="O6" s="7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4.5" customHeight="1">
      <c r="A7" s="1"/>
      <c r="B7" s="6" t="s">
        <v>27</v>
      </c>
      <c r="C7" s="7" t="s">
        <v>28</v>
      </c>
      <c r="D7" s="7" t="s">
        <v>29</v>
      </c>
      <c r="E7" s="7" t="s">
        <v>30</v>
      </c>
      <c r="F7" s="7" t="s">
        <v>19</v>
      </c>
      <c r="G7" s="7" t="s">
        <v>31</v>
      </c>
      <c r="H7" s="7" t="s">
        <v>21</v>
      </c>
      <c r="I7" s="7">
        <v>6.0</v>
      </c>
      <c r="J7" s="8">
        <v>45979.0</v>
      </c>
      <c r="K7" s="7" t="s">
        <v>22</v>
      </c>
      <c r="L7" s="7" t="s">
        <v>23</v>
      </c>
      <c r="M7" s="9" t="s">
        <v>32</v>
      </c>
      <c r="N7" s="7" t="s">
        <v>25</v>
      </c>
      <c r="O7" s="7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1"/>
      <c r="B8" s="6" t="s">
        <v>34</v>
      </c>
      <c r="C8" s="7" t="s">
        <v>35</v>
      </c>
      <c r="D8" s="10" t="s">
        <v>36</v>
      </c>
      <c r="E8" s="7" t="s">
        <v>37</v>
      </c>
      <c r="F8" s="7" t="s">
        <v>19</v>
      </c>
      <c r="G8" s="11" t="s">
        <v>38</v>
      </c>
      <c r="H8" s="7" t="s">
        <v>21</v>
      </c>
      <c r="I8" s="7">
        <v>5.0</v>
      </c>
      <c r="J8" s="8">
        <v>45980.0</v>
      </c>
      <c r="K8" s="7" t="s">
        <v>22</v>
      </c>
      <c r="L8" s="7" t="s">
        <v>23</v>
      </c>
      <c r="M8" s="7" t="s">
        <v>39</v>
      </c>
      <c r="N8" s="7"/>
      <c r="O8" s="7" t="s">
        <v>40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1"/>
      <c r="B9" s="6" t="s">
        <v>41</v>
      </c>
      <c r="C9" s="7" t="s">
        <v>42</v>
      </c>
      <c r="D9" s="11" t="s">
        <v>43</v>
      </c>
      <c r="E9" s="7" t="s">
        <v>44</v>
      </c>
      <c r="F9" s="7" t="s">
        <v>19</v>
      </c>
      <c r="G9" s="11" t="s">
        <v>45</v>
      </c>
      <c r="H9" s="7" t="s">
        <v>21</v>
      </c>
      <c r="I9" s="7">
        <v>5.0</v>
      </c>
      <c r="J9" s="8">
        <v>45981.0</v>
      </c>
      <c r="K9" s="7" t="s">
        <v>22</v>
      </c>
      <c r="L9" s="7" t="s">
        <v>23</v>
      </c>
      <c r="M9" s="7" t="s">
        <v>46</v>
      </c>
      <c r="N9" s="7"/>
      <c r="O9" s="7" t="s">
        <v>47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"/>
      <c r="B10" s="6" t="s">
        <v>48</v>
      </c>
      <c r="C10" s="7" t="s">
        <v>49</v>
      </c>
      <c r="D10" s="11" t="s">
        <v>50</v>
      </c>
      <c r="E10" s="7" t="s">
        <v>51</v>
      </c>
      <c r="F10" s="7" t="s">
        <v>19</v>
      </c>
      <c r="G10" s="11" t="s">
        <v>52</v>
      </c>
      <c r="H10" s="7" t="s">
        <v>53</v>
      </c>
      <c r="I10" s="7">
        <v>4.0</v>
      </c>
      <c r="J10" s="8">
        <v>45982.0</v>
      </c>
      <c r="K10" s="7" t="s">
        <v>22</v>
      </c>
      <c r="L10" s="7" t="s">
        <v>23</v>
      </c>
      <c r="M10" s="7" t="s">
        <v>54</v>
      </c>
      <c r="N10" s="7"/>
      <c r="O10" s="7" t="s">
        <v>55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1"/>
      <c r="B11" s="6" t="s">
        <v>56</v>
      </c>
      <c r="C11" s="7" t="s">
        <v>57</v>
      </c>
      <c r="D11" s="7" t="s">
        <v>58</v>
      </c>
      <c r="E11" s="7" t="s">
        <v>59</v>
      </c>
      <c r="F11" s="7" t="s">
        <v>19</v>
      </c>
      <c r="G11" s="11" t="s">
        <v>60</v>
      </c>
      <c r="H11" s="7" t="s">
        <v>53</v>
      </c>
      <c r="I11" s="7">
        <v>8.0</v>
      </c>
      <c r="J11" s="8">
        <v>45983.0</v>
      </c>
      <c r="K11" s="7" t="s">
        <v>22</v>
      </c>
      <c r="L11" s="7" t="s">
        <v>23</v>
      </c>
      <c r="M11" s="7" t="s">
        <v>61</v>
      </c>
      <c r="N11" s="7" t="s">
        <v>25</v>
      </c>
      <c r="O11" s="7" t="s">
        <v>62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"/>
      <c r="B12" s="12" t="s">
        <v>63</v>
      </c>
      <c r="C12" s="7" t="s">
        <v>64</v>
      </c>
      <c r="D12" s="7" t="s">
        <v>65</v>
      </c>
      <c r="E12" s="7" t="s">
        <v>66</v>
      </c>
      <c r="F12" s="7" t="s">
        <v>19</v>
      </c>
      <c r="G12" s="11" t="s">
        <v>67</v>
      </c>
      <c r="H12" s="7" t="s">
        <v>68</v>
      </c>
      <c r="I12" s="7">
        <v>6.0</v>
      </c>
      <c r="J12" s="8">
        <v>45979.0</v>
      </c>
      <c r="K12" s="7" t="s">
        <v>69</v>
      </c>
      <c r="L12" s="7" t="s">
        <v>23</v>
      </c>
      <c r="M12" s="7" t="s">
        <v>70</v>
      </c>
      <c r="N12" s="7" t="s">
        <v>71</v>
      </c>
      <c r="O12" s="7" t="s">
        <v>72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2.0" customHeight="1">
      <c r="A13" s="1"/>
      <c r="B13" s="12" t="s">
        <v>73</v>
      </c>
      <c r="C13" s="7" t="s">
        <v>74</v>
      </c>
      <c r="D13" s="7" t="s">
        <v>75</v>
      </c>
      <c r="E13" s="7" t="s">
        <v>76</v>
      </c>
      <c r="F13" s="7" t="s">
        <v>19</v>
      </c>
      <c r="G13" s="11" t="s">
        <v>77</v>
      </c>
      <c r="H13" s="7" t="s">
        <v>68</v>
      </c>
      <c r="I13" s="7">
        <v>6.0</v>
      </c>
      <c r="J13" s="8">
        <v>45979.0</v>
      </c>
      <c r="K13" s="7" t="s">
        <v>22</v>
      </c>
      <c r="L13" s="7" t="s">
        <v>23</v>
      </c>
      <c r="M13" s="7" t="s">
        <v>78</v>
      </c>
      <c r="N13" s="7" t="s">
        <v>79</v>
      </c>
      <c r="O13" s="7" t="s">
        <v>80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12" t="s">
        <v>81</v>
      </c>
      <c r="C14" s="7" t="s">
        <v>82</v>
      </c>
      <c r="D14" s="7" t="s">
        <v>83</v>
      </c>
      <c r="E14" s="7" t="s">
        <v>84</v>
      </c>
      <c r="F14" s="7" t="s">
        <v>19</v>
      </c>
      <c r="G14" s="11" t="s">
        <v>85</v>
      </c>
      <c r="H14" s="7" t="s">
        <v>68</v>
      </c>
      <c r="I14" s="7">
        <v>4.0</v>
      </c>
      <c r="J14" s="8">
        <v>45979.0</v>
      </c>
      <c r="K14" s="7" t="s">
        <v>22</v>
      </c>
      <c r="L14" s="7" t="s">
        <v>23</v>
      </c>
      <c r="M14" s="7" t="s">
        <v>86</v>
      </c>
      <c r="N14" s="7" t="s">
        <v>87</v>
      </c>
      <c r="O14" s="7" t="s">
        <v>88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"/>
      <c r="B15" s="12" t="s">
        <v>89</v>
      </c>
      <c r="C15" s="7" t="s">
        <v>90</v>
      </c>
      <c r="D15" s="7" t="s">
        <v>91</v>
      </c>
      <c r="E15" s="7" t="s">
        <v>92</v>
      </c>
      <c r="F15" s="7" t="s">
        <v>19</v>
      </c>
      <c r="G15" s="11" t="s">
        <v>93</v>
      </c>
      <c r="H15" s="7" t="s">
        <v>68</v>
      </c>
      <c r="I15" s="7">
        <v>3.0</v>
      </c>
      <c r="J15" s="8">
        <v>45979.0</v>
      </c>
      <c r="K15" s="7" t="s">
        <v>22</v>
      </c>
      <c r="L15" s="7" t="s">
        <v>23</v>
      </c>
      <c r="M15" s="7" t="s">
        <v>94</v>
      </c>
      <c r="N15" s="7" t="s">
        <v>95</v>
      </c>
      <c r="O15" s="7" t="s">
        <v>96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12" t="s">
        <v>97</v>
      </c>
      <c r="C16" s="7" t="s">
        <v>98</v>
      </c>
      <c r="D16" s="7" t="s">
        <v>99</v>
      </c>
      <c r="E16" s="7" t="s">
        <v>100</v>
      </c>
      <c r="F16" s="7" t="s">
        <v>19</v>
      </c>
      <c r="G16" s="11" t="s">
        <v>101</v>
      </c>
      <c r="H16" s="7" t="s">
        <v>68</v>
      </c>
      <c r="I16" s="7">
        <v>5.0</v>
      </c>
      <c r="J16" s="8">
        <v>45979.0</v>
      </c>
      <c r="K16" s="7" t="s">
        <v>22</v>
      </c>
      <c r="L16" s="7" t="s">
        <v>23</v>
      </c>
      <c r="M16" s="7" t="s">
        <v>102</v>
      </c>
      <c r="N16" s="7" t="s">
        <v>103</v>
      </c>
      <c r="O16" s="7" t="s">
        <v>104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 t="s">
        <v>105</v>
      </c>
      <c r="C17" s="7" t="s">
        <v>106</v>
      </c>
      <c r="D17" s="7" t="s">
        <v>107</v>
      </c>
      <c r="E17" s="7" t="s">
        <v>108</v>
      </c>
      <c r="F17" s="7" t="s">
        <v>19</v>
      </c>
      <c r="G17" s="7" t="s">
        <v>109</v>
      </c>
      <c r="H17" s="7" t="s">
        <v>68</v>
      </c>
      <c r="I17" s="7">
        <v>7.0</v>
      </c>
      <c r="J17" s="8">
        <v>45989.0</v>
      </c>
      <c r="K17" s="7" t="s">
        <v>22</v>
      </c>
      <c r="L17" s="7" t="s">
        <v>23</v>
      </c>
      <c r="M17" s="11" t="s">
        <v>110</v>
      </c>
      <c r="N17" s="7" t="s">
        <v>111</v>
      </c>
      <c r="O17" s="7" t="s">
        <v>112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2" t="s">
        <v>113</v>
      </c>
      <c r="C18" s="7" t="s">
        <v>114</v>
      </c>
      <c r="D18" s="11" t="s">
        <v>115</v>
      </c>
      <c r="E18" s="7" t="s">
        <v>116</v>
      </c>
      <c r="F18" s="7" t="s">
        <v>117</v>
      </c>
      <c r="G18" s="11" t="s">
        <v>118</v>
      </c>
      <c r="H18" s="7" t="s">
        <v>119</v>
      </c>
      <c r="I18" s="7">
        <v>16.0</v>
      </c>
      <c r="J18" s="8">
        <v>45979.0</v>
      </c>
      <c r="K18" s="7" t="s">
        <v>22</v>
      </c>
      <c r="L18" s="7" t="s">
        <v>23</v>
      </c>
      <c r="M18" s="7" t="s">
        <v>120</v>
      </c>
      <c r="N18" s="7" t="s">
        <v>25</v>
      </c>
      <c r="O18" s="7" t="s">
        <v>121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2" t="s">
        <v>122</v>
      </c>
      <c r="C19" s="7" t="s">
        <v>123</v>
      </c>
      <c r="D19" s="7" t="s">
        <v>124</v>
      </c>
      <c r="E19" s="7" t="s">
        <v>125</v>
      </c>
      <c r="F19" s="7" t="s">
        <v>117</v>
      </c>
      <c r="G19" s="7" t="s">
        <v>126</v>
      </c>
      <c r="H19" s="7" t="s">
        <v>119</v>
      </c>
      <c r="I19" s="7">
        <v>18.0</v>
      </c>
      <c r="J19" s="8">
        <v>45979.0</v>
      </c>
      <c r="K19" s="7" t="s">
        <v>22</v>
      </c>
      <c r="L19" s="7" t="s">
        <v>23</v>
      </c>
      <c r="M19" s="7" t="s">
        <v>127</v>
      </c>
      <c r="N19" s="7" t="s">
        <v>25</v>
      </c>
      <c r="O19" s="7" t="s">
        <v>128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2" t="s">
        <v>129</v>
      </c>
      <c r="C20" s="7" t="s">
        <v>130</v>
      </c>
      <c r="D20" s="7" t="s">
        <v>131</v>
      </c>
      <c r="E20" s="7" t="s">
        <v>132</v>
      </c>
      <c r="F20" s="7" t="s">
        <v>117</v>
      </c>
      <c r="G20" s="7" t="s">
        <v>133</v>
      </c>
      <c r="H20" s="7" t="s">
        <v>119</v>
      </c>
      <c r="I20" s="7">
        <v>6.0</v>
      </c>
      <c r="J20" s="8">
        <v>45979.0</v>
      </c>
      <c r="K20" s="7" t="s">
        <v>22</v>
      </c>
      <c r="L20" s="7" t="s">
        <v>23</v>
      </c>
      <c r="M20" s="7" t="s">
        <v>134</v>
      </c>
      <c r="N20" s="7" t="s">
        <v>25</v>
      </c>
      <c r="O20" s="7" t="s">
        <v>135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2" t="s">
        <v>136</v>
      </c>
      <c r="C21" s="7" t="s">
        <v>137</v>
      </c>
      <c r="D21" s="7" t="s">
        <v>138</v>
      </c>
      <c r="E21" s="7" t="s">
        <v>139</v>
      </c>
      <c r="F21" s="7" t="s">
        <v>117</v>
      </c>
      <c r="G21" s="7" t="s">
        <v>140</v>
      </c>
      <c r="H21" s="7" t="s">
        <v>119</v>
      </c>
      <c r="I21" s="7">
        <v>8.0</v>
      </c>
      <c r="J21" s="8">
        <v>45979.0</v>
      </c>
      <c r="K21" s="7" t="s">
        <v>22</v>
      </c>
      <c r="L21" s="7" t="s">
        <v>23</v>
      </c>
      <c r="M21" s="7" t="s">
        <v>141</v>
      </c>
      <c r="N21" s="7" t="s">
        <v>25</v>
      </c>
      <c r="O21" s="7" t="s">
        <v>142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" t="s">
        <v>143</v>
      </c>
      <c r="C22" s="7" t="s">
        <v>144</v>
      </c>
      <c r="D22" s="7" t="s">
        <v>145</v>
      </c>
      <c r="E22" s="7" t="s">
        <v>146</v>
      </c>
      <c r="F22" s="7" t="s">
        <v>147</v>
      </c>
      <c r="G22" s="7" t="s">
        <v>148</v>
      </c>
      <c r="H22" s="7" t="s">
        <v>21</v>
      </c>
      <c r="I22" s="7">
        <v>16.0</v>
      </c>
      <c r="J22" s="8">
        <v>45993.0</v>
      </c>
      <c r="K22" s="7" t="s">
        <v>149</v>
      </c>
      <c r="L22" s="7" t="s">
        <v>23</v>
      </c>
      <c r="M22" s="9" t="s">
        <v>150</v>
      </c>
      <c r="N22" s="7" t="s">
        <v>25</v>
      </c>
      <c r="O22" s="7" t="s">
        <v>151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75.75" customHeight="1">
      <c r="A23" s="1"/>
      <c r="B23" s="6" t="s">
        <v>152</v>
      </c>
      <c r="C23" s="7" t="s">
        <v>153</v>
      </c>
      <c r="D23" s="7" t="s">
        <v>154</v>
      </c>
      <c r="E23" s="7" t="s">
        <v>155</v>
      </c>
      <c r="F23" s="7" t="s">
        <v>19</v>
      </c>
      <c r="G23" s="7" t="s">
        <v>156</v>
      </c>
      <c r="H23" s="7" t="s">
        <v>21</v>
      </c>
      <c r="I23" s="7">
        <v>12.0</v>
      </c>
      <c r="J23" s="8">
        <v>45994.0</v>
      </c>
      <c r="K23" s="7" t="s">
        <v>157</v>
      </c>
      <c r="L23" s="7" t="s">
        <v>23</v>
      </c>
      <c r="M23" s="9" t="s">
        <v>158</v>
      </c>
      <c r="N23" s="7" t="s">
        <v>25</v>
      </c>
      <c r="O23" s="7" t="s">
        <v>159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5.75" customHeight="1">
      <c r="A24" s="1"/>
      <c r="B24" s="6" t="s">
        <v>160</v>
      </c>
      <c r="C24" s="7" t="s">
        <v>161</v>
      </c>
      <c r="D24" s="7" t="s">
        <v>162</v>
      </c>
      <c r="E24" s="7" t="s">
        <v>163</v>
      </c>
      <c r="F24" s="7" t="s">
        <v>147</v>
      </c>
      <c r="G24" s="11" t="s">
        <v>164</v>
      </c>
      <c r="H24" s="7" t="s">
        <v>21</v>
      </c>
      <c r="I24" s="7">
        <v>20.0</v>
      </c>
      <c r="J24" s="8">
        <v>45995.0</v>
      </c>
      <c r="K24" s="7" t="s">
        <v>69</v>
      </c>
      <c r="L24" s="7" t="s">
        <v>23</v>
      </c>
      <c r="M24" s="9" t="s">
        <v>165</v>
      </c>
      <c r="N24" s="7" t="s">
        <v>25</v>
      </c>
      <c r="O24" s="7" t="s">
        <v>166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6" t="s">
        <v>167</v>
      </c>
      <c r="C25" s="7" t="s">
        <v>168</v>
      </c>
      <c r="D25" s="11" t="s">
        <v>169</v>
      </c>
      <c r="E25" s="7" t="s">
        <v>170</v>
      </c>
      <c r="F25" s="7" t="s">
        <v>19</v>
      </c>
      <c r="G25" s="11" t="s">
        <v>171</v>
      </c>
      <c r="H25" s="7" t="s">
        <v>119</v>
      </c>
      <c r="I25" s="7">
        <v>18.0</v>
      </c>
      <c r="J25" s="8">
        <v>45996.0</v>
      </c>
      <c r="K25" s="7" t="s">
        <v>149</v>
      </c>
      <c r="L25" s="7" t="s">
        <v>23</v>
      </c>
      <c r="M25" s="9" t="s">
        <v>172</v>
      </c>
      <c r="N25" s="7" t="s">
        <v>25</v>
      </c>
      <c r="O25" s="7" t="s">
        <v>173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6" t="s">
        <v>174</v>
      </c>
      <c r="C26" s="7" t="s">
        <v>175</v>
      </c>
      <c r="D26" s="11" t="s">
        <v>176</v>
      </c>
      <c r="E26" s="7" t="s">
        <v>177</v>
      </c>
      <c r="F26" s="7" t="s">
        <v>19</v>
      </c>
      <c r="G26" s="11" t="s">
        <v>178</v>
      </c>
      <c r="H26" s="7" t="s">
        <v>119</v>
      </c>
      <c r="I26" s="7">
        <v>22.0</v>
      </c>
      <c r="J26" s="8">
        <v>45997.0</v>
      </c>
      <c r="K26" s="7" t="s">
        <v>69</v>
      </c>
      <c r="L26" s="7" t="s">
        <v>23</v>
      </c>
      <c r="M26" s="9" t="s">
        <v>179</v>
      </c>
      <c r="N26" s="7" t="s">
        <v>25</v>
      </c>
      <c r="O26" s="7" t="s">
        <v>180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" t="s">
        <v>181</v>
      </c>
      <c r="C27" s="7" t="s">
        <v>182</v>
      </c>
      <c r="D27" s="11" t="s">
        <v>183</v>
      </c>
      <c r="E27" s="7" t="s">
        <v>184</v>
      </c>
      <c r="F27" s="7" t="s">
        <v>185</v>
      </c>
      <c r="G27" s="11" t="s">
        <v>186</v>
      </c>
      <c r="H27" s="7" t="s">
        <v>119</v>
      </c>
      <c r="I27" s="7">
        <v>14.0</v>
      </c>
      <c r="J27" s="8">
        <v>45998.0</v>
      </c>
      <c r="K27" s="7" t="s">
        <v>69</v>
      </c>
      <c r="L27" s="7" t="s">
        <v>23</v>
      </c>
      <c r="M27" s="9" t="s">
        <v>187</v>
      </c>
      <c r="N27" s="7" t="s">
        <v>25</v>
      </c>
      <c r="O27" s="7" t="s">
        <v>188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6" t="s">
        <v>189</v>
      </c>
      <c r="C28" s="7" t="s">
        <v>190</v>
      </c>
      <c r="D28" s="11" t="s">
        <v>191</v>
      </c>
      <c r="E28" s="7" t="s">
        <v>192</v>
      </c>
      <c r="F28" s="7" t="s">
        <v>19</v>
      </c>
      <c r="G28" s="11" t="s">
        <v>193</v>
      </c>
      <c r="H28" s="7" t="s">
        <v>68</v>
      </c>
      <c r="I28" s="7">
        <v>16.0</v>
      </c>
      <c r="J28" s="8">
        <v>45999.0</v>
      </c>
      <c r="K28" s="7" t="s">
        <v>149</v>
      </c>
      <c r="L28" s="7" t="s">
        <v>23</v>
      </c>
      <c r="M28" s="9" t="s">
        <v>194</v>
      </c>
      <c r="N28" s="7" t="s">
        <v>25</v>
      </c>
      <c r="O28" s="7" t="s">
        <v>195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" t="s">
        <v>196</v>
      </c>
      <c r="C29" s="7" t="s">
        <v>197</v>
      </c>
      <c r="D29" s="11" t="s">
        <v>198</v>
      </c>
      <c r="E29" s="7" t="s">
        <v>199</v>
      </c>
      <c r="F29" s="7" t="s">
        <v>147</v>
      </c>
      <c r="G29" s="11" t="s">
        <v>200</v>
      </c>
      <c r="H29" s="7" t="s">
        <v>68</v>
      </c>
      <c r="I29" s="7">
        <v>10.0</v>
      </c>
      <c r="J29" s="8">
        <v>46000.0</v>
      </c>
      <c r="K29" s="7" t="s">
        <v>149</v>
      </c>
      <c r="L29" s="7" t="s">
        <v>23</v>
      </c>
      <c r="M29" s="9" t="s">
        <v>201</v>
      </c>
      <c r="N29" s="7" t="s">
        <v>25</v>
      </c>
      <c r="O29" s="7" t="s">
        <v>202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" t="s">
        <v>203</v>
      </c>
      <c r="C30" s="7" t="s">
        <v>204</v>
      </c>
      <c r="D30" s="11" t="s">
        <v>205</v>
      </c>
      <c r="E30" s="7" t="s">
        <v>206</v>
      </c>
      <c r="F30" s="7" t="s">
        <v>147</v>
      </c>
      <c r="G30" s="11" t="s">
        <v>207</v>
      </c>
      <c r="H30" s="7" t="s">
        <v>68</v>
      </c>
      <c r="I30" s="7">
        <v>12.0</v>
      </c>
      <c r="J30" s="8">
        <v>46001.0</v>
      </c>
      <c r="K30" s="7" t="s">
        <v>149</v>
      </c>
      <c r="L30" s="7" t="s">
        <v>23</v>
      </c>
      <c r="M30" s="9" t="s">
        <v>208</v>
      </c>
      <c r="N30" s="7" t="s">
        <v>25</v>
      </c>
      <c r="O30" s="7" t="s">
        <v>209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" t="s">
        <v>210</v>
      </c>
      <c r="C31" s="7" t="s">
        <v>211</v>
      </c>
      <c r="D31" s="11" t="s">
        <v>212</v>
      </c>
      <c r="E31" s="7" t="s">
        <v>213</v>
      </c>
      <c r="F31" s="7" t="s">
        <v>117</v>
      </c>
      <c r="G31" s="11" t="s">
        <v>214</v>
      </c>
      <c r="H31" s="7" t="s">
        <v>53</v>
      </c>
      <c r="I31" s="7">
        <v>30.0</v>
      </c>
      <c r="J31" s="8">
        <v>46002.0</v>
      </c>
      <c r="K31" s="7" t="s">
        <v>69</v>
      </c>
      <c r="L31" s="7" t="s">
        <v>23</v>
      </c>
      <c r="M31" s="9" t="s">
        <v>215</v>
      </c>
      <c r="N31" s="7" t="s">
        <v>25</v>
      </c>
      <c r="O31" s="7" t="s">
        <v>216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2.0" customHeight="1">
      <c r="A32" s="1"/>
      <c r="B32" s="6"/>
      <c r="C32" s="7" t="s">
        <v>217</v>
      </c>
      <c r="D32" s="11" t="s">
        <v>115</v>
      </c>
      <c r="E32" s="7" t="s">
        <v>218</v>
      </c>
      <c r="F32" s="7" t="s">
        <v>117</v>
      </c>
      <c r="G32" s="11" t="s">
        <v>219</v>
      </c>
      <c r="H32" s="7" t="s">
        <v>119</v>
      </c>
      <c r="I32" s="7">
        <v>4.0</v>
      </c>
      <c r="J32" s="8">
        <v>45978.0</v>
      </c>
      <c r="K32" s="7" t="s">
        <v>22</v>
      </c>
      <c r="L32" s="7" t="s">
        <v>23</v>
      </c>
      <c r="M32" s="7" t="s">
        <v>220</v>
      </c>
      <c r="N32" s="7" t="s">
        <v>25</v>
      </c>
      <c r="O32" s="7" t="s">
        <v>221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75.75" customHeight="1">
      <c r="A33" s="1"/>
      <c r="B33" s="6"/>
      <c r="C33" s="7" t="s">
        <v>222</v>
      </c>
      <c r="D33" s="7" t="s">
        <v>223</v>
      </c>
      <c r="E33" s="7" t="s">
        <v>224</v>
      </c>
      <c r="F33" s="7" t="s">
        <v>19</v>
      </c>
      <c r="G33" s="11" t="s">
        <v>225</v>
      </c>
      <c r="H33" s="7"/>
      <c r="I33" s="7">
        <v>5.0</v>
      </c>
      <c r="J33" s="8">
        <v>45977.0</v>
      </c>
      <c r="K33" s="7" t="s">
        <v>22</v>
      </c>
      <c r="L33" s="7" t="s">
        <v>23</v>
      </c>
      <c r="M33" s="7" t="s">
        <v>226</v>
      </c>
      <c r="N33" s="7" t="s">
        <v>25</v>
      </c>
      <c r="O33" s="7" t="s">
        <v>227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3"/>
      <c r="C34" s="14"/>
      <c r="D34" s="15"/>
      <c r="E34" s="14"/>
      <c r="F34" s="14"/>
      <c r="G34" s="15"/>
      <c r="H34" s="14"/>
      <c r="I34" s="14"/>
      <c r="J34" s="16"/>
      <c r="K34" s="14"/>
      <c r="L34" s="14"/>
      <c r="M34" s="17"/>
      <c r="N34" s="14"/>
      <c r="O34" s="1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3"/>
      <c r="C35" s="14"/>
      <c r="D35" s="15"/>
      <c r="E35" s="14"/>
      <c r="F35" s="14"/>
      <c r="G35" s="15"/>
      <c r="H35" s="14"/>
      <c r="I35" s="14"/>
      <c r="J35" s="16"/>
      <c r="K35" s="14"/>
      <c r="L35" s="14"/>
      <c r="M35" s="17"/>
      <c r="N35" s="14"/>
      <c r="O35" s="1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3"/>
      <c r="C36" s="14"/>
      <c r="D36" s="15"/>
      <c r="E36" s="14"/>
      <c r="F36" s="14"/>
      <c r="G36" s="15"/>
      <c r="H36" s="14"/>
      <c r="I36" s="14"/>
      <c r="J36" s="16"/>
      <c r="K36" s="14"/>
      <c r="L36" s="14"/>
      <c r="M36" s="17"/>
      <c r="N36" s="14"/>
      <c r="O36" s="1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3"/>
      <c r="C37" s="14"/>
      <c r="D37" s="15"/>
      <c r="E37" s="14"/>
      <c r="F37" s="14"/>
      <c r="G37" s="15"/>
      <c r="H37" s="14"/>
      <c r="I37" s="14"/>
      <c r="J37" s="16"/>
      <c r="K37" s="14"/>
      <c r="L37" s="14"/>
      <c r="M37" s="17"/>
      <c r="N37" s="14"/>
      <c r="O37" s="1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3"/>
      <c r="C38" s="14"/>
      <c r="D38" s="15"/>
      <c r="E38" s="14"/>
      <c r="F38" s="14"/>
      <c r="G38" s="15"/>
      <c r="H38" s="14"/>
      <c r="I38" s="14"/>
      <c r="J38" s="16"/>
      <c r="K38" s="14"/>
      <c r="L38" s="14"/>
      <c r="M38" s="17"/>
      <c r="N38" s="14"/>
      <c r="O38" s="1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3"/>
      <c r="C39" s="14"/>
      <c r="D39" s="15"/>
      <c r="E39" s="14"/>
      <c r="F39" s="14"/>
      <c r="G39" s="15"/>
      <c r="H39" s="14"/>
      <c r="I39" s="14"/>
      <c r="J39" s="16"/>
      <c r="K39" s="14"/>
      <c r="L39" s="14"/>
      <c r="M39" s="17"/>
      <c r="N39" s="14"/>
      <c r="O39" s="1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</sheetData>
  <mergeCells count="1">
    <mergeCell ref="B3:O3"/>
  </mergeCells>
  <conditionalFormatting sqref="L6 L8:L33">
    <cfRule type="colorScale" priority="1">
      <colorScale>
        <cfvo type="min"/>
        <cfvo type="max"/>
        <color rgb="FF57BB8A"/>
        <color rgb="FFFFFFFF"/>
      </colorScale>
    </cfRule>
  </conditionalFormatting>
  <conditionalFormatting sqref="L9:L16">
    <cfRule type="colorScale" priority="2">
      <colorScale>
        <cfvo type="min"/>
        <cfvo type="max"/>
        <color rgb="FF57BB8A"/>
        <color rgb="FFFFFFFF"/>
      </colorScale>
    </cfRule>
  </conditionalFormatting>
  <conditionalFormatting sqref="L7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K6:K39">
      <formula1>$K$31:$K$33</formula1>
    </dataValidation>
    <dataValidation type="list" allowBlank="1" showErrorMessage="1" sqref="L6:L25 L32:L39">
      <formula1>$L$31:$L$34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0" hidden="1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0" hidden="1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idden="1">
      <c r="A4" s="19"/>
      <c r="B4" s="19"/>
      <c r="C4" s="20"/>
      <c r="D4" s="20"/>
      <c r="E4" s="20"/>
      <c r="F4" s="21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idden="1">
      <c r="A5" s="19"/>
      <c r="B5" s="19"/>
      <c r="C5" s="20"/>
      <c r="D5" s="20"/>
      <c r="E5" s="20"/>
      <c r="F5" s="21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9.75" customHeight="1">
      <c r="A6" s="19"/>
      <c r="B6" s="22" t="s">
        <v>228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9.75" customHeight="1">
      <c r="A7" s="23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9.75" customHeight="1">
      <c r="A8" s="19"/>
      <c r="B8" s="25"/>
      <c r="C8" s="26"/>
      <c r="D8" s="26"/>
      <c r="E8" s="26"/>
      <c r="F8" s="27"/>
      <c r="G8" s="28"/>
      <c r="H8" s="28"/>
      <c r="I8" s="28"/>
      <c r="J8" s="28"/>
      <c r="K8" s="28"/>
      <c r="L8" s="28"/>
      <c r="M8" s="28"/>
      <c r="N8" s="28"/>
      <c r="O8" s="28"/>
      <c r="P8" s="29"/>
      <c r="Q8" s="23"/>
      <c r="R8" s="19"/>
      <c r="S8" s="19"/>
      <c r="T8" s="19"/>
      <c r="U8" s="19"/>
      <c r="V8" s="19"/>
      <c r="W8" s="19"/>
      <c r="X8" s="19"/>
      <c r="Y8" s="19"/>
      <c r="Z8" s="19"/>
    </row>
    <row r="9" ht="30.0" customHeight="1">
      <c r="A9" s="19"/>
      <c r="B9" s="30"/>
      <c r="C9" s="31" t="s">
        <v>1</v>
      </c>
      <c r="D9" s="32"/>
      <c r="E9" s="33" t="s">
        <v>229</v>
      </c>
      <c r="F9" s="4"/>
      <c r="G9" s="32"/>
      <c r="H9" s="33" t="s">
        <v>11</v>
      </c>
      <c r="I9" s="4"/>
      <c r="J9" s="34"/>
      <c r="K9" s="34"/>
      <c r="L9" s="34"/>
      <c r="M9" s="34"/>
      <c r="N9" s="34"/>
      <c r="O9" s="34"/>
      <c r="P9" s="35"/>
      <c r="Q9" s="23"/>
      <c r="R9" s="19"/>
      <c r="S9" s="19"/>
      <c r="T9" s="19"/>
      <c r="U9" s="19"/>
      <c r="V9" s="19"/>
      <c r="W9" s="19"/>
      <c r="X9" s="19"/>
      <c r="Y9" s="19"/>
      <c r="Z9" s="19"/>
    </row>
    <row r="10" ht="30.0" customHeight="1">
      <c r="A10" s="19"/>
      <c r="B10" s="30"/>
      <c r="C10" s="36" t="s">
        <v>136</v>
      </c>
      <c r="D10" s="37"/>
      <c r="E10" s="38" t="str">
        <f>VLOOKUP(C10,'Formato descripción HU'!B6:O21,5,0)</f>
        <v>Cliente</v>
      </c>
      <c r="F10" s="4"/>
      <c r="G10" s="37"/>
      <c r="H10" s="38" t="str">
        <f>VLOOKUP(C10,'Formato descripción HU'!B6:O21,11,0)</f>
        <v>Pendiente</v>
      </c>
      <c r="I10" s="4"/>
      <c r="J10" s="37"/>
      <c r="K10" s="34"/>
      <c r="L10" s="34"/>
      <c r="M10" s="34"/>
      <c r="N10" s="34"/>
      <c r="O10" s="34"/>
      <c r="P10" s="35"/>
      <c r="Q10" s="23"/>
      <c r="R10" s="19"/>
      <c r="S10" s="19"/>
      <c r="T10" s="19"/>
      <c r="U10" s="19"/>
      <c r="V10" s="19"/>
      <c r="W10" s="19"/>
      <c r="X10" s="19"/>
      <c r="Y10" s="19"/>
      <c r="Z10" s="19"/>
    </row>
    <row r="11" ht="9.75" customHeight="1">
      <c r="A11" s="23"/>
      <c r="B11" s="30"/>
      <c r="C11" s="39"/>
      <c r="D11" s="37"/>
      <c r="E11" s="40"/>
      <c r="F11" s="40"/>
      <c r="G11" s="37"/>
      <c r="H11" s="40"/>
      <c r="I11" s="40"/>
      <c r="J11" s="37"/>
      <c r="K11" s="40"/>
      <c r="L11" s="40"/>
      <c r="M11" s="34"/>
      <c r="N11" s="40"/>
      <c r="O11" s="40"/>
      <c r="P11" s="35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30.0" customHeight="1">
      <c r="A12" s="23"/>
      <c r="B12" s="30"/>
      <c r="C12" s="31" t="s">
        <v>230</v>
      </c>
      <c r="D12" s="37"/>
      <c r="E12" s="33" t="s">
        <v>10</v>
      </c>
      <c r="F12" s="4"/>
      <c r="G12" s="37"/>
      <c r="H12" s="33" t="s">
        <v>231</v>
      </c>
      <c r="I12" s="4"/>
      <c r="J12" s="37"/>
      <c r="K12" s="40"/>
      <c r="L12" s="40"/>
      <c r="M12" s="34"/>
      <c r="N12" s="40"/>
      <c r="O12" s="40"/>
      <c r="P12" s="35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30.0" customHeight="1">
      <c r="A13" s="23"/>
      <c r="B13" s="30"/>
      <c r="C13" s="41">
        <f>VLOOKUP('Historia de Usuario'!C10,'Formato descripción HU'!B6:O21,8,0)</f>
        <v>8</v>
      </c>
      <c r="D13" s="37"/>
      <c r="E13" s="38" t="str">
        <f>VLOOKUP(C10,'Formato descripción HU'!B6:O21,10,0)</f>
        <v>Alta/Esencial</v>
      </c>
      <c r="F13" s="4"/>
      <c r="G13" s="37"/>
      <c r="H13" s="38" t="str">
        <f>VLOOKUP(C10,'Formato descripción HU'!B6:O21,7,0)</f>
        <v>Julio Viche</v>
      </c>
      <c r="I13" s="4"/>
      <c r="J13" s="37"/>
      <c r="K13" s="40"/>
      <c r="L13" s="40"/>
      <c r="M13" s="34"/>
      <c r="N13" s="40"/>
      <c r="O13" s="40"/>
      <c r="P13" s="35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9.75" customHeight="1">
      <c r="A14" s="23"/>
      <c r="B14" s="30"/>
      <c r="C14" s="34"/>
      <c r="D14" s="37"/>
      <c r="E14" s="34"/>
      <c r="F14" s="34"/>
      <c r="G14" s="37"/>
      <c r="H14" s="37"/>
      <c r="I14" s="34"/>
      <c r="J14" s="34"/>
      <c r="K14" s="34"/>
      <c r="L14" s="34"/>
      <c r="M14" s="34"/>
      <c r="N14" s="34"/>
      <c r="O14" s="34"/>
      <c r="P14" s="35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9.5" customHeight="1">
      <c r="A15" s="23"/>
      <c r="B15" s="30"/>
      <c r="C15" s="42" t="s">
        <v>232</v>
      </c>
      <c r="D15" s="43" t="str">
        <f>VLOOKUP(C10,'Formato descripción HU'!B6:O21,3,0)</f>
        <v>Mostrar datos nutricionales individuales y agregados en tiempo real durante la creación o consulta de mezclas.</v>
      </c>
      <c r="E15" s="44"/>
      <c r="F15" s="45"/>
      <c r="G15" s="42" t="s">
        <v>233</v>
      </c>
      <c r="H15" s="43" t="str">
        <f>VLOOKUP(C10,'Formato descripción HU'!B6:O21,4,0)</f>
        <v>Permitir que el cliente evalúe el valor nutricional de productos o mezclas para tomar decisiones informadas.</v>
      </c>
      <c r="I15" s="46"/>
      <c r="J15" s="44"/>
      <c r="K15" s="45"/>
      <c r="L15" s="42" t="s">
        <v>234</v>
      </c>
      <c r="M15" s="47" t="str">
        <f>VLOOKUP(C10,'Formato descripción HU'!B6:O21,6,0)</f>
        <v>Actor accede a “Datos Nutricionales” o el sistema los muestra automáticamente. Mostrar datos nutricionales del producto individual. Para mezclas, sumar datos de cada componente.</v>
      </c>
      <c r="N15" s="46"/>
      <c r="O15" s="44"/>
      <c r="P15" s="35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9.5" customHeight="1">
      <c r="A16" s="23"/>
      <c r="B16" s="30"/>
      <c r="C16" s="48"/>
      <c r="D16" s="49"/>
      <c r="E16" s="50"/>
      <c r="F16" s="45"/>
      <c r="G16" s="48"/>
      <c r="H16" s="49"/>
      <c r="J16" s="50"/>
      <c r="K16" s="45"/>
      <c r="L16" s="48"/>
      <c r="M16" s="49"/>
      <c r="O16" s="50"/>
      <c r="P16" s="35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72.0" customHeight="1">
      <c r="A17" s="23"/>
      <c r="B17" s="30"/>
      <c r="C17" s="51"/>
      <c r="D17" s="52"/>
      <c r="E17" s="53"/>
      <c r="F17" s="45"/>
      <c r="G17" s="51"/>
      <c r="H17" s="52"/>
      <c r="I17" s="54"/>
      <c r="J17" s="53"/>
      <c r="K17" s="45"/>
      <c r="L17" s="51"/>
      <c r="M17" s="52"/>
      <c r="N17" s="54"/>
      <c r="O17" s="53"/>
      <c r="P17" s="35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9.75" customHeight="1">
      <c r="A18" s="23"/>
      <c r="B18" s="30"/>
      <c r="C18" s="34"/>
      <c r="D18" s="34"/>
      <c r="E18" s="34"/>
      <c r="F18" s="34"/>
      <c r="G18" s="37"/>
      <c r="H18" s="37"/>
      <c r="I18" s="37"/>
      <c r="J18" s="34"/>
      <c r="K18" s="34"/>
      <c r="L18" s="34"/>
      <c r="M18" s="34"/>
      <c r="N18" s="34"/>
      <c r="O18" s="34"/>
      <c r="P18" s="35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9.5" customHeight="1">
      <c r="A19" s="19"/>
      <c r="B19" s="30"/>
      <c r="C19" s="55" t="s">
        <v>235</v>
      </c>
      <c r="D19" s="44"/>
      <c r="E19" s="56" t="str">
        <f>VLOOKUP(C10,'Formato descripción HU'!B6:O21,14,0)</f>
        <v>HU-MostrarDatosNutricionales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35"/>
      <c r="Q19" s="23"/>
      <c r="R19" s="19"/>
      <c r="S19" s="19"/>
      <c r="T19" s="19"/>
      <c r="U19" s="19"/>
      <c r="V19" s="19"/>
      <c r="W19" s="19"/>
      <c r="X19" s="19"/>
      <c r="Y19" s="19"/>
      <c r="Z19" s="19"/>
    </row>
    <row r="20" ht="19.5" customHeight="1">
      <c r="A20" s="19"/>
      <c r="B20" s="30"/>
      <c r="C20" s="52"/>
      <c r="D20" s="53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35"/>
      <c r="Q20" s="23"/>
      <c r="R20" s="19"/>
      <c r="S20" s="19"/>
      <c r="T20" s="19"/>
      <c r="U20" s="19"/>
      <c r="V20" s="19"/>
      <c r="W20" s="19"/>
      <c r="X20" s="19"/>
      <c r="Y20" s="19"/>
      <c r="Z20" s="19"/>
    </row>
    <row r="21" ht="9.75" customHeight="1">
      <c r="A21" s="19"/>
      <c r="B21" s="30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23"/>
      <c r="R21" s="19"/>
      <c r="S21" s="19"/>
      <c r="T21" s="19"/>
      <c r="U21" s="19"/>
      <c r="V21" s="19"/>
      <c r="W21" s="19"/>
      <c r="X21" s="19"/>
      <c r="Y21" s="19"/>
      <c r="Z21" s="19"/>
    </row>
    <row r="22" ht="19.5" customHeight="1">
      <c r="A22" s="23"/>
      <c r="B22" s="30"/>
      <c r="C22" s="62" t="s">
        <v>236</v>
      </c>
      <c r="D22" s="44"/>
      <c r="E22" s="63" t="str">
        <f>VLOOKUP(C10,'Formato descripción HU'!B6:O21,12,0)</f>
        <v>Ver datos nutricionales al seleccionar un producto. Ver datos nutricionales agregados al diseñar una mezcla. Actualización dinámica al cambiar cantidades o componentes. Mensaje “Información no disponible” si faltan datos.</v>
      </c>
      <c r="F22" s="46"/>
      <c r="G22" s="46"/>
      <c r="H22" s="44"/>
      <c r="I22" s="34"/>
      <c r="J22" s="62" t="s">
        <v>13</v>
      </c>
      <c r="K22" s="44"/>
      <c r="L22" s="43" t="str">
        <f>VLOOKUP(C10,'Formato descripción HU'!B6:O21,13,0)</f>
        <v>—</v>
      </c>
      <c r="M22" s="46"/>
      <c r="N22" s="46"/>
      <c r="O22" s="44"/>
      <c r="P22" s="35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9.5" customHeight="1">
      <c r="A23" s="23"/>
      <c r="B23" s="30"/>
      <c r="C23" s="49"/>
      <c r="D23" s="50"/>
      <c r="E23" s="49"/>
      <c r="H23" s="50"/>
      <c r="I23" s="34"/>
      <c r="J23" s="49"/>
      <c r="K23" s="50"/>
      <c r="L23" s="49"/>
      <c r="O23" s="50"/>
      <c r="P23" s="35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68.25" customHeight="1">
      <c r="A24" s="23"/>
      <c r="B24" s="30"/>
      <c r="C24" s="52"/>
      <c r="D24" s="53"/>
      <c r="E24" s="52"/>
      <c r="F24" s="54"/>
      <c r="G24" s="54"/>
      <c r="H24" s="53"/>
      <c r="I24" s="34"/>
      <c r="J24" s="52"/>
      <c r="K24" s="53"/>
      <c r="L24" s="52"/>
      <c r="M24" s="54"/>
      <c r="N24" s="54"/>
      <c r="O24" s="53"/>
      <c r="P24" s="35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9.75" customHeight="1">
      <c r="A25" s="23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6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9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9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9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9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9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9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9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9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9.5" customHeight="1">
      <c r="A34" s="19"/>
      <c r="B34" s="19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9.5" customHeight="1">
      <c r="A35" s="19"/>
      <c r="B35" s="19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9.5" customHeight="1">
      <c r="A36" s="19"/>
      <c r="B36" s="19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9.5" customHeight="1">
      <c r="A37" s="19"/>
      <c r="B37" s="19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9.5" customHeight="1">
      <c r="A38" s="19"/>
      <c r="B38" s="19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9.5" customHeight="1">
      <c r="A39" s="19"/>
      <c r="B39" s="19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9.5" customHeight="1">
      <c r="A40" s="19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9.5" customHeight="1">
      <c r="A41" s="19"/>
      <c r="B41" s="19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9.5" customHeight="1">
      <c r="A42" s="19"/>
      <c r="B42" s="19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9.5" customHeight="1">
      <c r="A43" s="19"/>
      <c r="B43" s="19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9.5" customHeight="1">
      <c r="A44" s="19"/>
      <c r="B44" s="19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9.5" customHeight="1">
      <c r="A45" s="19"/>
      <c r="B45" s="19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9.5" customHeight="1">
      <c r="A46" s="19"/>
      <c r="B46" s="19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9.5" customHeight="1">
      <c r="A47" s="19"/>
      <c r="B47" s="19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9.5" customHeight="1">
      <c r="A48" s="19"/>
      <c r="B48" s="19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9.5" customHeight="1">
      <c r="A49" s="19"/>
      <c r="B49" s="19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9.5" customHeight="1">
      <c r="A50" s="19"/>
      <c r="B50" s="19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9.5" customHeight="1">
      <c r="A51" s="19"/>
      <c r="B51" s="19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9.5" customHeight="1">
      <c r="A52" s="19"/>
      <c r="B52" s="19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9.5" customHeight="1">
      <c r="A53" s="19"/>
      <c r="B53" s="19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9.5" customHeight="1">
      <c r="A54" s="19"/>
      <c r="B54" s="19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HU'!$B$6:$B$21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